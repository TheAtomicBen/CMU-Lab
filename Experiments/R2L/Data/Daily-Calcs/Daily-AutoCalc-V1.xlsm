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benjaminlibman/Google Drive/Academics/CMU/Lab/Research/R2L/Data/Daily-Calcs/"/>
    </mc:Choice>
  </mc:AlternateContent>
  <bookViews>
    <workbookView xWindow="80" yWindow="0" windowWidth="28720" windowHeight="18000"/>
  </bookViews>
  <sheets>
    <sheet name="BA1650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O6" i="1"/>
  <c r="O7" i="1"/>
  <c r="O8" i="1"/>
  <c r="O9" i="1"/>
  <c r="Q9" i="1"/>
  <c r="Q8" i="1"/>
  <c r="S9" i="1"/>
  <c r="U2" i="1"/>
  <c r="U3" i="1"/>
  <c r="U4" i="1"/>
  <c r="U5" i="1"/>
  <c r="U6" i="1"/>
  <c r="U7" i="1"/>
  <c r="U8" i="1"/>
  <c r="U9" i="1"/>
  <c r="N2" i="1"/>
  <c r="N3" i="1"/>
  <c r="N4" i="1"/>
  <c r="N5" i="1"/>
  <c r="N6" i="1"/>
  <c r="N7" i="1"/>
  <c r="N8" i="1"/>
  <c r="N9" i="1"/>
  <c r="R9" i="1"/>
  <c r="R8" i="1"/>
  <c r="Q2" i="1"/>
  <c r="Q3" i="1"/>
  <c r="O4" i="1"/>
  <c r="Q4" i="1"/>
  <c r="Q5" i="1"/>
  <c r="Q6" i="1"/>
  <c r="Q7" i="1"/>
  <c r="O2" i="1"/>
  <c r="O3" i="1"/>
  <c r="M3" i="1"/>
  <c r="M4" i="1"/>
  <c r="M5" i="1"/>
  <c r="M6" i="1"/>
  <c r="M7" i="1"/>
  <c r="M8" i="1"/>
  <c r="M9" i="1"/>
  <c r="AX24" i="1"/>
  <c r="AW24" i="1"/>
  <c r="AU24" i="1"/>
  <c r="AT24" i="1"/>
  <c r="AQ24" i="1"/>
  <c r="AP24" i="1"/>
  <c r="AN24" i="1"/>
  <c r="AM24" i="1"/>
  <c r="AL24" i="1"/>
  <c r="AK24" i="1"/>
  <c r="AI24" i="1"/>
  <c r="AH24" i="1"/>
  <c r="AG24" i="1"/>
  <c r="AF24" i="1"/>
  <c r="AD24" i="1"/>
  <c r="AC24" i="1"/>
  <c r="AA28" i="1"/>
  <c r="AB28" i="1"/>
  <c r="AC28" i="1"/>
  <c r="AD28" i="1"/>
  <c r="AF28" i="1"/>
  <c r="AG28" i="1"/>
  <c r="AH28" i="1"/>
  <c r="AI28" i="1"/>
  <c r="AK28" i="1"/>
  <c r="AL28" i="1"/>
  <c r="AM28" i="1"/>
  <c r="AN28" i="1"/>
  <c r="AP28" i="1"/>
  <c r="AQ28" i="1"/>
  <c r="AT28" i="1"/>
  <c r="AU28" i="1"/>
  <c r="AW28" i="1"/>
  <c r="AX28" i="1"/>
  <c r="P2" i="1"/>
  <c r="P3" i="1"/>
  <c r="P4" i="1"/>
  <c r="P5" i="1"/>
  <c r="P6" i="1"/>
  <c r="P7" i="1"/>
  <c r="P8" i="1"/>
  <c r="P9" i="1"/>
  <c r="AA25" i="1"/>
  <c r="AA26" i="1"/>
  <c r="AA27" i="1"/>
  <c r="AB27" i="1"/>
  <c r="AC27" i="1"/>
  <c r="AD27" i="1"/>
  <c r="AF27" i="1"/>
  <c r="AG27" i="1"/>
  <c r="AH27" i="1"/>
  <c r="AI27" i="1"/>
  <c r="AK27" i="1"/>
  <c r="AL27" i="1"/>
  <c r="AM27" i="1"/>
  <c r="AN27" i="1"/>
  <c r="AP27" i="1"/>
  <c r="AQ27" i="1"/>
  <c r="AT27" i="1"/>
  <c r="AU27" i="1"/>
  <c r="AW27" i="1"/>
  <c r="AX27" i="1"/>
  <c r="AA24" i="1"/>
  <c r="AB24" i="1"/>
  <c r="AB25" i="1"/>
  <c r="AC25" i="1"/>
  <c r="AD25" i="1"/>
  <c r="AF25" i="1"/>
  <c r="AG25" i="1"/>
  <c r="AH25" i="1"/>
  <c r="AI25" i="1"/>
  <c r="AK25" i="1"/>
  <c r="AL25" i="1"/>
  <c r="AM25" i="1"/>
  <c r="AN25" i="1"/>
  <c r="AP25" i="1"/>
  <c r="AQ25" i="1"/>
  <c r="AT25" i="1"/>
  <c r="AU25" i="1"/>
  <c r="AW25" i="1"/>
  <c r="AX25" i="1"/>
  <c r="AB26" i="1"/>
  <c r="AC26" i="1"/>
  <c r="AD26" i="1"/>
  <c r="AF26" i="1"/>
  <c r="AG26" i="1"/>
  <c r="AH26" i="1"/>
  <c r="AI26" i="1"/>
  <c r="AK26" i="1"/>
  <c r="AL26" i="1"/>
  <c r="AM26" i="1"/>
  <c r="AN26" i="1"/>
  <c r="AP26" i="1"/>
  <c r="AQ26" i="1"/>
  <c r="AT26" i="1"/>
  <c r="AU26" i="1"/>
  <c r="AW26" i="1"/>
  <c r="AX26" i="1"/>
  <c r="X26" i="1" a="1"/>
  <c r="X26" i="1"/>
  <c r="X27" i="1" a="1"/>
  <c r="X27" i="1"/>
  <c r="X28" i="1" a="1"/>
  <c r="X28" i="1"/>
  <c r="X24" i="1" a="1"/>
  <c r="X24" i="1"/>
  <c r="X25" i="1" a="1"/>
  <c r="X25" i="1"/>
  <c r="X22" i="1" a="1"/>
  <c r="X22" i="1"/>
  <c r="AA22" i="1"/>
  <c r="AB22" i="1"/>
  <c r="AC22" i="1"/>
  <c r="AD22" i="1"/>
  <c r="AF22" i="1"/>
  <c r="AG22" i="1"/>
  <c r="AH22" i="1"/>
  <c r="AI22" i="1"/>
  <c r="AK22" i="1"/>
  <c r="AL22" i="1"/>
  <c r="AM22" i="1"/>
  <c r="AN22" i="1"/>
  <c r="AP22" i="1"/>
  <c r="AQ22" i="1"/>
  <c r="AT22" i="1"/>
  <c r="AU22" i="1"/>
  <c r="AW22" i="1"/>
  <c r="AX22" i="1"/>
  <c r="X23" i="1" a="1"/>
  <c r="X23" i="1"/>
  <c r="AA23" i="1"/>
  <c r="AB23" i="1"/>
  <c r="AC23" i="1"/>
  <c r="AD23" i="1"/>
  <c r="AF23" i="1"/>
  <c r="AG23" i="1"/>
  <c r="AH23" i="1"/>
  <c r="AI23" i="1"/>
  <c r="AK23" i="1"/>
  <c r="AL23" i="1"/>
  <c r="AM23" i="1"/>
  <c r="AN23" i="1"/>
  <c r="AP23" i="1"/>
  <c r="AQ23" i="1"/>
  <c r="AT23" i="1"/>
  <c r="AU23" i="1"/>
  <c r="AW23" i="1"/>
  <c r="AX23" i="1"/>
  <c r="AH21" i="1"/>
  <c r="AF19" i="1"/>
  <c r="AF20" i="1"/>
  <c r="AF21" i="1"/>
  <c r="X21" i="1" a="1"/>
  <c r="X21" i="1"/>
  <c r="AA21" i="1"/>
  <c r="AB21" i="1"/>
  <c r="AC21" i="1"/>
  <c r="AD21" i="1"/>
  <c r="AG21" i="1"/>
  <c r="AI21" i="1"/>
  <c r="AK21" i="1"/>
  <c r="AL21" i="1"/>
  <c r="AM21" i="1"/>
  <c r="AN21" i="1"/>
  <c r="AP21" i="1"/>
  <c r="AQ21" i="1"/>
  <c r="AT21" i="1"/>
  <c r="AU21" i="1"/>
  <c r="AW21" i="1"/>
  <c r="AX21" i="1"/>
  <c r="R7" i="1"/>
  <c r="R6" i="1"/>
  <c r="R5" i="1"/>
  <c r="S6" i="1"/>
  <c r="S7" i="1"/>
  <c r="S8" i="1"/>
  <c r="T7" i="1"/>
  <c r="T8" i="1"/>
  <c r="T9" i="1"/>
  <c r="X20" i="1" a="1"/>
  <c r="X20" i="1"/>
  <c r="AA20" i="1"/>
  <c r="AB20" i="1"/>
  <c r="AC20" i="1"/>
  <c r="AD20" i="1"/>
  <c r="AG20" i="1"/>
  <c r="AH20" i="1"/>
  <c r="AI20" i="1"/>
  <c r="AK20" i="1"/>
  <c r="AL20" i="1"/>
  <c r="AM20" i="1"/>
  <c r="AN20" i="1"/>
  <c r="AP20" i="1"/>
  <c r="AQ20" i="1"/>
  <c r="AT20" i="1"/>
  <c r="AU20" i="1"/>
  <c r="AW20" i="1"/>
  <c r="AX20" i="1"/>
  <c r="R2" i="1"/>
  <c r="R3" i="1"/>
  <c r="R4" i="1"/>
  <c r="AA19" i="1"/>
  <c r="AB19" i="1"/>
  <c r="AC19" i="1"/>
  <c r="AD19" i="1"/>
  <c r="S2" i="1"/>
  <c r="S3" i="1"/>
  <c r="T2" i="1"/>
  <c r="S4" i="1"/>
  <c r="T3" i="1"/>
  <c r="S5" i="1"/>
  <c r="T4" i="1"/>
  <c r="T5" i="1"/>
  <c r="T6" i="1"/>
  <c r="AG19" i="1"/>
  <c r="AH19" i="1"/>
  <c r="AI19" i="1"/>
  <c r="AK19" i="1"/>
  <c r="AL19" i="1"/>
  <c r="AM19" i="1"/>
  <c r="AN19" i="1"/>
  <c r="AP19" i="1"/>
  <c r="AQ19" i="1"/>
  <c r="AT19" i="1"/>
  <c r="AU19" i="1"/>
  <c r="AW19" i="1"/>
  <c r="AX19" i="1"/>
  <c r="AX18" i="1"/>
  <c r="AW18" i="1"/>
  <c r="AX17" i="1"/>
  <c r="AW17" i="1"/>
  <c r="AX16" i="1"/>
  <c r="AW16" i="1"/>
  <c r="AX15" i="1"/>
  <c r="AW15" i="1"/>
  <c r="AX14" i="1"/>
  <c r="AW14" i="1"/>
  <c r="AX12" i="1"/>
  <c r="AW12" i="1"/>
  <c r="AX11" i="1"/>
  <c r="AW11" i="1"/>
  <c r="AX10" i="1"/>
  <c r="AW10" i="1"/>
  <c r="AX8" i="1"/>
  <c r="AW8" i="1"/>
  <c r="AX7" i="1"/>
  <c r="AW7" i="1"/>
  <c r="AX6" i="1"/>
  <c r="AW6" i="1"/>
  <c r="AX4" i="1"/>
  <c r="AW4" i="1"/>
  <c r="AX3" i="1"/>
  <c r="AW3" i="1"/>
  <c r="AX2" i="1"/>
  <c r="AW2" i="1"/>
  <c r="AF2" i="1"/>
  <c r="AU18" i="1"/>
  <c r="AT18" i="1"/>
  <c r="AU17" i="1"/>
  <c r="AT17" i="1"/>
  <c r="AU16" i="1"/>
  <c r="AT16" i="1"/>
  <c r="AU15" i="1"/>
  <c r="AT15" i="1"/>
  <c r="AU14" i="1"/>
  <c r="AT14" i="1"/>
  <c r="AU12" i="1"/>
  <c r="AT12" i="1"/>
  <c r="AU11" i="1"/>
  <c r="AT11" i="1"/>
  <c r="AU10" i="1"/>
  <c r="AT10" i="1"/>
  <c r="AU8" i="1"/>
  <c r="AT8" i="1"/>
  <c r="AU7" i="1"/>
  <c r="AT7" i="1"/>
  <c r="AU6" i="1"/>
  <c r="AT6" i="1"/>
  <c r="AU4" i="1"/>
  <c r="AT4" i="1"/>
  <c r="AU3" i="1"/>
  <c r="AT3" i="1"/>
  <c r="AT2" i="1"/>
  <c r="AU2" i="1"/>
  <c r="AA18" i="1"/>
  <c r="AB18" i="1"/>
  <c r="AC18" i="1"/>
  <c r="AD18" i="1"/>
  <c r="AF18" i="1"/>
  <c r="AG18" i="1"/>
  <c r="AH18" i="1"/>
  <c r="AI18" i="1"/>
  <c r="AK18" i="1"/>
  <c r="AL18" i="1"/>
  <c r="AM18" i="1"/>
  <c r="AN18" i="1"/>
  <c r="AP18" i="1"/>
  <c r="AQ18" i="1"/>
  <c r="AA16" i="1"/>
  <c r="AB16" i="1"/>
  <c r="AC16" i="1"/>
  <c r="AD16" i="1"/>
  <c r="AF16" i="1"/>
  <c r="AG16" i="1"/>
  <c r="AH16" i="1"/>
  <c r="AI16" i="1"/>
  <c r="AK16" i="1"/>
  <c r="AL16" i="1"/>
  <c r="AM16" i="1"/>
  <c r="AN16" i="1"/>
  <c r="AP16" i="1"/>
  <c r="AQ16" i="1"/>
  <c r="AA17" i="1"/>
  <c r="AB17" i="1"/>
  <c r="AC17" i="1"/>
  <c r="AD17" i="1"/>
  <c r="AF17" i="1"/>
  <c r="AG17" i="1"/>
  <c r="AH17" i="1"/>
  <c r="AI17" i="1"/>
  <c r="AK17" i="1"/>
  <c r="AL17" i="1"/>
  <c r="AM17" i="1"/>
  <c r="AN17" i="1"/>
  <c r="AP17" i="1"/>
  <c r="AQ17" i="1"/>
  <c r="X19" i="1" a="1"/>
  <c r="X19" i="1"/>
  <c r="X17" i="1" a="1"/>
  <c r="X17" i="1"/>
  <c r="X18" i="1" a="1"/>
  <c r="X18" i="1"/>
  <c r="AA15" i="1"/>
  <c r="AB15" i="1"/>
  <c r="AC15" i="1"/>
  <c r="AD15" i="1"/>
  <c r="AF15" i="1"/>
  <c r="AG15" i="1"/>
  <c r="AH15" i="1"/>
  <c r="AI15" i="1"/>
  <c r="AK15" i="1"/>
  <c r="AL15" i="1"/>
  <c r="AM15" i="1"/>
  <c r="AN15" i="1"/>
  <c r="AP15" i="1"/>
  <c r="AQ15" i="1"/>
  <c r="X15" i="1" a="1"/>
  <c r="X15" i="1"/>
  <c r="X16" i="1" a="1"/>
  <c r="X16" i="1"/>
  <c r="AK2" i="1"/>
  <c r="X14" i="1" a="1"/>
  <c r="X14" i="1"/>
  <c r="AA14" i="1"/>
  <c r="AB14" i="1"/>
  <c r="AC14" i="1"/>
  <c r="AD14" i="1"/>
  <c r="AF14" i="1"/>
  <c r="AG14" i="1"/>
  <c r="AH14" i="1"/>
  <c r="AI14" i="1"/>
  <c r="AK14" i="1"/>
  <c r="AL14" i="1"/>
  <c r="AM14" i="1"/>
  <c r="AN14" i="1"/>
  <c r="AP14" i="1"/>
  <c r="AQ14" i="1"/>
  <c r="X11" i="1" a="1"/>
  <c r="X11" i="1"/>
  <c r="AA11" i="1"/>
  <c r="AB11" i="1"/>
  <c r="AC11" i="1"/>
  <c r="AD11" i="1"/>
  <c r="AF11" i="1"/>
  <c r="AG11" i="1"/>
  <c r="AH11" i="1"/>
  <c r="AI11" i="1"/>
  <c r="AK11" i="1"/>
  <c r="AL11" i="1"/>
  <c r="AM11" i="1"/>
  <c r="AN11" i="1"/>
  <c r="AP11" i="1"/>
  <c r="AQ11" i="1"/>
  <c r="X12" i="1" a="1"/>
  <c r="X12" i="1"/>
  <c r="AA12" i="1"/>
  <c r="AB12" i="1"/>
  <c r="AC12" i="1"/>
  <c r="AD12" i="1"/>
  <c r="AF12" i="1"/>
  <c r="AG12" i="1"/>
  <c r="AH12" i="1"/>
  <c r="AI12" i="1"/>
  <c r="AK12" i="1"/>
  <c r="AL12" i="1"/>
  <c r="AM12" i="1"/>
  <c r="AN12" i="1"/>
  <c r="AP12" i="1"/>
  <c r="AQ12" i="1"/>
  <c r="X8" i="1" a="1"/>
  <c r="X8" i="1"/>
  <c r="AA8" i="1"/>
  <c r="AB8" i="1"/>
  <c r="AC8" i="1"/>
  <c r="AD8" i="1"/>
  <c r="AF8" i="1"/>
  <c r="AG8" i="1"/>
  <c r="AH8" i="1"/>
  <c r="AI8" i="1"/>
  <c r="AK8" i="1"/>
  <c r="AL8" i="1"/>
  <c r="AM8" i="1"/>
  <c r="AN8" i="1"/>
  <c r="AP8" i="1"/>
  <c r="AQ8" i="1"/>
  <c r="X10" i="1" a="1"/>
  <c r="X10" i="1"/>
  <c r="AA10" i="1"/>
  <c r="AB10" i="1"/>
  <c r="AC10" i="1"/>
  <c r="AD10" i="1"/>
  <c r="AF10" i="1"/>
  <c r="AG10" i="1"/>
  <c r="AH10" i="1"/>
  <c r="AI10" i="1"/>
  <c r="AK10" i="1"/>
  <c r="AL10" i="1"/>
  <c r="AM10" i="1"/>
  <c r="AN10" i="1"/>
  <c r="AP10" i="1"/>
  <c r="AQ10" i="1"/>
  <c r="AL4" i="1"/>
  <c r="AK4" i="1"/>
  <c r="AM4" i="1"/>
  <c r="AK6" i="1"/>
  <c r="AP4" i="1"/>
  <c r="AQ4" i="1"/>
  <c r="AN6" i="1"/>
  <c r="AP6" i="1"/>
  <c r="AL6" i="1"/>
  <c r="AM6" i="1"/>
  <c r="AN4" i="1"/>
  <c r="AQ6" i="1"/>
  <c r="AP3" i="1"/>
  <c r="AQ3" i="1"/>
  <c r="AL3" i="1"/>
  <c r="AM3" i="1"/>
  <c r="AK3" i="1"/>
  <c r="AN3" i="1"/>
  <c r="AP2" i="1"/>
  <c r="AQ2" i="1"/>
  <c r="AL2" i="1"/>
  <c r="AN2" i="1"/>
  <c r="AM2" i="1"/>
  <c r="X6" i="1" a="1"/>
  <c r="X6" i="1"/>
  <c r="X2" i="1" a="1"/>
  <c r="X2" i="1"/>
  <c r="X4" i="1" a="1"/>
  <c r="X4" i="1"/>
  <c r="X7" i="1" a="1"/>
  <c r="X7" i="1"/>
  <c r="X3" i="1" a="1"/>
  <c r="X3" i="1"/>
  <c r="AN7" i="1"/>
  <c r="AP7" i="1"/>
  <c r="AQ7" i="1"/>
  <c r="AK7" i="1"/>
  <c r="AM7" i="1"/>
  <c r="AL7" i="1"/>
  <c r="AI4" i="1"/>
  <c r="AA6" i="1"/>
  <c r="AH2" i="1"/>
  <c r="AD2" i="1"/>
  <c r="AA2" i="1"/>
  <c r="AI7" i="1"/>
  <c r="AB3" i="1"/>
  <c r="AF3" i="1"/>
  <c r="AD3" i="1"/>
  <c r="AB4" i="1"/>
  <c r="AD6" i="1"/>
  <c r="AC7" i="1"/>
  <c r="AC3" i="1"/>
  <c r="AH6" i="1"/>
  <c r="AA7" i="1"/>
  <c r="AC2" i="1"/>
  <c r="AC6" i="1"/>
  <c r="AB7" i="1"/>
  <c r="AC4" i="1"/>
  <c r="AB2" i="1"/>
  <c r="AF7" i="1"/>
  <c r="AH7" i="1"/>
  <c r="AG3" i="1"/>
  <c r="AA4" i="1"/>
  <c r="AG2" i="1"/>
  <c r="AG6" i="1"/>
  <c r="AH4" i="1"/>
  <c r="AF6" i="1"/>
  <c r="AG4" i="1"/>
  <c r="AF4" i="1"/>
  <c r="AG7" i="1"/>
  <c r="AD4" i="1"/>
  <c r="AI3" i="1"/>
  <c r="AI2" i="1"/>
  <c r="AA3" i="1"/>
  <c r="AI6" i="1"/>
  <c r="AD7" i="1"/>
  <c r="AB6" i="1"/>
  <c r="AH3" i="1"/>
</calcChain>
</file>

<file path=xl/sharedStrings.xml><?xml version="1.0" encoding="utf-8"?>
<sst xmlns="http://schemas.openxmlformats.org/spreadsheetml/2006/main" count="64" uniqueCount="37">
  <si>
    <t>Sub</t>
  </si>
  <si>
    <t>UserID</t>
  </si>
  <si>
    <t>Protocol</t>
  </si>
  <si>
    <t>Run</t>
  </si>
  <si>
    <t>Time</t>
  </si>
  <si>
    <t>State</t>
  </si>
  <si>
    <t>Transition State</t>
  </si>
  <si>
    <t>Transition Event</t>
  </si>
  <si>
    <t>Lft</t>
  </si>
  <si>
    <t>Rgt</t>
  </si>
  <si>
    <t>A[1] LEFT</t>
  </si>
  <si>
    <t>A[2] RIGHT</t>
  </si>
  <si>
    <t>Sess</t>
  </si>
  <si>
    <t>Trial</t>
  </si>
  <si>
    <t>Ty</t>
  </si>
  <si>
    <t>Prior</t>
  </si>
  <si>
    <t>Rsp</t>
  </si>
  <si>
    <t>T(s)</t>
  </si>
  <si>
    <t>PRP</t>
  </si>
  <si>
    <t>M</t>
  </si>
  <si>
    <t>Rate -&gt;</t>
  </si>
  <si>
    <t>Lf,Lf</t>
  </si>
  <si>
    <t>Lf,Rt</t>
  </si>
  <si>
    <t>Rt,Lf</t>
  </si>
  <si>
    <t>Rt,Rt</t>
  </si>
  <si>
    <t xml:space="preserve">Run -&gt; </t>
  </si>
  <si>
    <t xml:space="preserve">Pause -&gt; </t>
  </si>
  <si>
    <t>Lf: p(Corr)</t>
  </si>
  <si>
    <t>Rt: p(Corr)</t>
  </si>
  <si>
    <t>Delete Everyting Below Line</t>
  </si>
  <si>
    <t>LEAVE ME ALONE !!</t>
  </si>
  <si>
    <t>Lf</t>
  </si>
  <si>
    <t>Rt</t>
  </si>
  <si>
    <t xml:space="preserve">T-Rate-&gt; </t>
  </si>
  <si>
    <t>R-Rate -&gt;</t>
  </si>
  <si>
    <t>ef</t>
  </si>
  <si>
    <t>BA1651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</si>
</sst>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rgb="FF000000"/>
      <name val="Helvetica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</borders>
  <cellStyleXfs count="179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">
    <xf numFmtId="0" fontId="0" fillId="0" borderId="0" xfId="0"/>
    <xf numFmtId="0" fontId="1" fillId="2" borderId="1" xfId="0" applyFont="1" applyFill="1" applyBorder="1"/>
    <xf numFmtId="0" fontId="2" fillId="3" borderId="2" xfId="0" applyFont="1" applyFill="1" applyBorder="1"/>
    <xf numFmtId="0" fontId="2" fillId="3" borderId="1" xfId="0" applyFont="1" applyFill="1" applyBorder="1"/>
    <xf numFmtId="0" fontId="0" fillId="4" borderId="3" xfId="0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0" fillId="0" borderId="1" xfId="0" applyBorder="1"/>
    <xf numFmtId="0" fontId="0" fillId="0" borderId="4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3" fillId="5" borderId="4" xfId="0" applyFont="1" applyFill="1" applyBorder="1"/>
    <xf numFmtId="0" fontId="3" fillId="5" borderId="0" xfId="0" applyFont="1" applyFill="1"/>
    <xf numFmtId="0" fontId="3" fillId="5" borderId="5" xfId="0" applyFont="1" applyFill="1" applyBorder="1"/>
    <xf numFmtId="0" fontId="3" fillId="5" borderId="6" xfId="0" applyFont="1" applyFill="1" applyBorder="1"/>
    <xf numFmtId="0" fontId="3" fillId="5" borderId="7" xfId="0" applyFont="1" applyFill="1" applyBorder="1"/>
    <xf numFmtId="164" fontId="2" fillId="5" borderId="1" xfId="0" applyNumberFormat="1" applyFont="1" applyFill="1" applyBorder="1"/>
    <xf numFmtId="164" fontId="2" fillId="6" borderId="1" xfId="0" applyNumberFormat="1" applyFont="1" applyFill="1" applyBorder="1"/>
    <xf numFmtId="164" fontId="0" fillId="0" borderId="1" xfId="0" applyNumberFormat="1" applyBorder="1"/>
    <xf numFmtId="164" fontId="0" fillId="0" borderId="0" xfId="0" applyNumberFormat="1"/>
    <xf numFmtId="0" fontId="4" fillId="4" borderId="12" xfId="0" applyFont="1" applyFill="1" applyBorder="1" applyAlignment="1">
      <alignment horizontal="center" wrapText="1"/>
    </xf>
    <xf numFmtId="0" fontId="4" fillId="4" borderId="11" xfId="0" applyFont="1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0" fillId="4" borderId="11" xfId="0" applyFill="1" applyBorder="1" applyAlignment="1">
      <alignment horizontal="center" wrapText="1"/>
    </xf>
    <xf numFmtId="164" fontId="3" fillId="0" borderId="0" xfId="0" applyNumberFormat="1" applyFont="1"/>
  </cellXfs>
  <cellStyles count="17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21</xdr:col>
          <xdr:colOff>0</xdr:colOff>
          <xdr:row>3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Clear first!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3</xdr:row>
          <xdr:rowOff>12700</xdr:rowOff>
        </xdr:from>
        <xdr:to>
          <xdr:col>20</xdr:col>
          <xdr:colOff>203200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Fill Second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5" Type="http://schemas.openxmlformats.org/officeDocument/2006/relationships/ctrlProp" Target="../ctrlProps/ctrlProp2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AX28"/>
  <sheetViews>
    <sheetView tabSelected="1" workbookViewId="0">
      <selection activeCell="U10" sqref="A10:U200000"/>
    </sheetView>
  </sheetViews>
  <sheetFormatPr baseColWidth="10" defaultColWidth="8.83203125" defaultRowHeight="15" x14ac:dyDescent="0.2"/>
  <cols>
    <col min="1" max="1" width="7.5" bestFit="1" customWidth="1"/>
    <col min="2" max="4" width="0.5" customWidth="1"/>
    <col min="5" max="5" width="6" bestFit="1" customWidth="1"/>
    <col min="6" max="6" width="5.5" bestFit="1" customWidth="1"/>
    <col min="7" max="8" width="0.5" customWidth="1"/>
    <col min="9" max="9" width="3.33203125" bestFit="1" customWidth="1"/>
    <col min="10" max="10" width="3.83203125" bestFit="1" customWidth="1"/>
    <col min="11" max="12" width="0.5" customWidth="1"/>
    <col min="13" max="13" width="4.83203125" style="8" bestFit="1" customWidth="1"/>
    <col min="14" max="14" width="4.83203125" bestFit="1" customWidth="1"/>
    <col min="15" max="15" width="3" bestFit="1" customWidth="1"/>
    <col min="16" max="16" width="5.33203125" bestFit="1" customWidth="1"/>
    <col min="17" max="17" width="5.83203125" customWidth="1"/>
    <col min="18" max="18" width="5.5" customWidth="1"/>
    <col min="19" max="19" width="5.6640625" customWidth="1"/>
    <col min="20" max="20" width="4.83203125" customWidth="1"/>
    <col min="21" max="21" width="2.83203125" bestFit="1" customWidth="1"/>
    <col min="22" max="22" width="11.5" style="4" customWidth="1"/>
    <col min="23" max="24" width="4.83203125" bestFit="1" customWidth="1"/>
    <col min="25" max="25" width="2.83203125" bestFit="1" customWidth="1"/>
    <col min="26" max="26" width="6.83203125" customWidth="1"/>
    <col min="27" max="27" width="7.83203125" style="20" bestFit="1" customWidth="1"/>
    <col min="28" max="28" width="12.1640625" style="20" bestFit="1" customWidth="1"/>
    <col min="29" max="30" width="7.83203125" style="20" bestFit="1" customWidth="1"/>
    <col min="31" max="31" width="6.5" style="20" customWidth="1"/>
    <col min="32" max="32" width="7.83203125" style="20" bestFit="1" customWidth="1"/>
    <col min="33" max="33" width="7.33203125" style="20" customWidth="1"/>
    <col min="34" max="34" width="12.33203125" style="20" bestFit="1" customWidth="1"/>
    <col min="35" max="35" width="7.1640625" style="20" bestFit="1" customWidth="1"/>
    <col min="36" max="36" width="8.33203125" style="20" customWidth="1"/>
    <col min="37" max="40" width="5.83203125" style="20" customWidth="1"/>
    <col min="41" max="41" width="8.83203125" style="20"/>
    <col min="42" max="43" width="9" style="20" bestFit="1" customWidth="1"/>
    <col min="44" max="45" width="8.83203125" style="20"/>
    <col min="46" max="47" width="9" style="20" bestFit="1" customWidth="1"/>
    <col min="48" max="48" width="8.83203125" style="20"/>
    <col min="49" max="50" width="9" style="20" bestFit="1" customWidth="1"/>
  </cols>
  <sheetData>
    <row r="1" spans="1:50" s="7" customFormat="1" ht="16" thickBo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2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/>
      <c r="T1" s="3" t="s">
        <v>18</v>
      </c>
      <c r="U1" s="3" t="s">
        <v>19</v>
      </c>
      <c r="V1" s="23" t="s">
        <v>30</v>
      </c>
      <c r="W1" s="5" t="s">
        <v>12</v>
      </c>
      <c r="X1" s="5" t="s">
        <v>13</v>
      </c>
      <c r="Y1" s="5" t="s">
        <v>19</v>
      </c>
      <c r="Z1" s="6" t="s">
        <v>20</v>
      </c>
      <c r="AA1" s="17" t="s">
        <v>21</v>
      </c>
      <c r="AB1" s="17" t="s">
        <v>22</v>
      </c>
      <c r="AC1" s="17" t="s">
        <v>23</v>
      </c>
      <c r="AD1" s="17" t="s">
        <v>24</v>
      </c>
      <c r="AE1" s="18" t="s">
        <v>25</v>
      </c>
      <c r="AF1" s="17" t="s">
        <v>21</v>
      </c>
      <c r="AG1" s="17" t="s">
        <v>22</v>
      </c>
      <c r="AH1" s="17" t="s">
        <v>23</v>
      </c>
      <c r="AI1" s="17" t="s">
        <v>24</v>
      </c>
      <c r="AJ1" s="18" t="s">
        <v>26</v>
      </c>
      <c r="AK1" s="17" t="s">
        <v>21</v>
      </c>
      <c r="AL1" s="17" t="s">
        <v>22</v>
      </c>
      <c r="AM1" s="17" t="s">
        <v>23</v>
      </c>
      <c r="AN1" s="17" t="s">
        <v>24</v>
      </c>
      <c r="AO1" s="19"/>
      <c r="AP1" s="17" t="s">
        <v>27</v>
      </c>
      <c r="AQ1" s="17" t="s">
        <v>28</v>
      </c>
      <c r="AR1" s="19"/>
      <c r="AS1" s="18" t="s">
        <v>33</v>
      </c>
      <c r="AT1" s="17" t="s">
        <v>31</v>
      </c>
      <c r="AU1" s="17" t="s">
        <v>32</v>
      </c>
      <c r="AV1" s="18" t="s">
        <v>34</v>
      </c>
      <c r="AW1" s="17" t="s">
        <v>31</v>
      </c>
      <c r="AX1" s="17" t="s">
        <v>32</v>
      </c>
    </row>
    <row r="2" spans="1:50" x14ac:dyDescent="0.2">
      <c r="A2" t="s">
        <v>36</v>
      </c>
      <c r="B2" t="s">
        <v>35</v>
      </c>
      <c r="C2">
        <v>3</v>
      </c>
      <c r="D2">
        <v>1</v>
      </c>
      <c r="E2">
        <v>0</v>
      </c>
      <c r="F2">
        <v>0</v>
      </c>
      <c r="G2">
        <v>1</v>
      </c>
      <c r="H2">
        <v>0</v>
      </c>
      <c r="I2">
        <v>0</v>
      </c>
      <c r="J2">
        <v>0</v>
      </c>
      <c r="K2">
        <v>0</v>
      </c>
      <c r="L2">
        <v>0</v>
      </c>
      <c r="M2" s="12">
        <v>1</v>
      </c>
      <c r="N2" s="13">
        <f>IF(F2=0,0,IF(F2=2,N1+1,N1))</f>
        <v>0</v>
      </c>
      <c r="O2" s="13" t="str">
        <f>IF(N2&gt;0,IF(F2=2,O3,IF(F2=3,"Lf",IF(F2=6,"Rt",O1))),"")</f>
        <v/>
      </c>
      <c r="P2" s="13" t="str">
        <f>IF(N2&gt;1,IF(N2&lt;&gt;N1,CONCATENATE(O1,",",O2),P1),"")</f>
        <v/>
      </c>
      <c r="Q2" s="13" t="str">
        <f>IF(N2&gt;0,IF(O2="Lf",IF(OR(F2=3,F2=4),IF(I2=1,"C",IF(J2=1,"I",""))),IF(O2="Rt",IF(OR(F2=6,F2=7),IF(J2=1,"C",IF(I2=1,"I",""))))),"")</f>
        <v/>
      </c>
      <c r="R2" s="13" t="str">
        <f>IF(OR(F2&lt;3,F2&gt;8,E2=0),"",E2/50-E1/50)</f>
        <v/>
      </c>
      <c r="S2" s="13" t="str">
        <f>IF(AND(R2&lt;&gt;"",R1=""),R2,IF(Q1="C","",IF(S1&lt;&gt;"",R2+S1,"")))</f>
        <v/>
      </c>
      <c r="T2" s="13" t="str">
        <f>IF(AND(S3="",S2&lt;&gt;""),S2,"")</f>
        <v/>
      </c>
      <c r="U2" s="13">
        <f>IF($M2&lt;&gt;$M1,SUMIF($W$2:$W$203,$M2,$Y$2:$Y$203),$U1)</f>
        <v>1</v>
      </c>
      <c r="V2" s="23"/>
      <c r="W2">
        <v>1</v>
      </c>
      <c r="X2">
        <f t="array" ref="X2">MAX(IF($M$2:$M$200000=$W2,$N$2:$N$200000,""))</f>
        <v>1</v>
      </c>
      <c r="Y2">
        <v>1</v>
      </c>
      <c r="AA2" s="20" t="e">
        <f>(COUNTIFS($Q$2:$Q$200000,"C",$M$2:$M$200000,$W2,$P$2:$P$200000,AA$1)/SUMIFS($R$2:$R$200000,$M$2:$M$200000,$W2,$P$2:$P$200000,AA$1))*60</f>
        <v>#DIV/0!</v>
      </c>
      <c r="AB2" s="20" t="e">
        <f t="shared" ref="AB2:AD24" si="0">(COUNTIFS($Q$2:$Q$200000,"C",$M$2:$M$200000,$W2,$P$2:$P$200000,AB$1)/SUMIFS($R$2:$R$200000,$M$2:$M$200000,$W2,$P$2:$P$200000,AB$1))*60</f>
        <v>#DIV/0!</v>
      </c>
      <c r="AC2" s="20" t="e">
        <f t="shared" si="0"/>
        <v>#DIV/0!</v>
      </c>
      <c r="AD2" s="20" t="e">
        <f t="shared" si="0"/>
        <v>#DIV/0!</v>
      </c>
      <c r="AF2" s="20" t="e">
        <f>(COUNTIFS($Q$2:$Q$200000,"C",$M$2:$M$200000,$W2,$P$2:$P$200000,AF$1)/(SUMIFS($R$2:$R$200000,$M$2:$M$200000,$W2,$P$2:$P$200000,AF$1)-SUMIFS($T$2:$T$200000,$M$2:$M$200000,$W2,$P$2:$P$200000,AK$1)))*60</f>
        <v>#DIV/0!</v>
      </c>
      <c r="AG2" s="20" t="e">
        <f t="shared" ref="AG2:AI7" si="1">(COUNTIFS($Q$2:$Q$200000,"C",$M$2:$M$200000,$W2,$P$2:$P$200000,AG$1)/(SUMIFS($R$2:$R$200000,$M$2:$M$200000,$W2,$P$2:$P$200000,AG$1)-SUMIFS($T$2:$T$200000,$M$2:$M$200000,$W2,$P$2:$P$200000,AL$1)))*60</f>
        <v>#DIV/0!</v>
      </c>
      <c r="AH2" s="20" t="e">
        <f t="shared" si="1"/>
        <v>#DIV/0!</v>
      </c>
      <c r="AI2" s="20" t="e">
        <f t="shared" si="1"/>
        <v>#DIV/0!</v>
      </c>
      <c r="AK2" s="20" t="e">
        <f>AVERAGEIFS($T$2:$T$200000,$M$2:$M$200000,$W2,$P$2:$P$200000,AK$1)</f>
        <v>#DIV/0!</v>
      </c>
      <c r="AL2" s="20" t="e">
        <f t="shared" ref="AK2:AN24" si="2">AVERAGEIFS($T$2:$T$200000,$M$2:$M$200000,$W2,$P$2:$P$200000,AL$1)</f>
        <v>#DIV/0!</v>
      </c>
      <c r="AM2" s="20" t="e">
        <f t="shared" si="2"/>
        <v>#DIV/0!</v>
      </c>
      <c r="AN2" s="20" t="e">
        <f t="shared" si="2"/>
        <v>#DIV/0!</v>
      </c>
      <c r="AP2" s="20">
        <f>COUNTIFS($M$2:$M$200000,$W2,$O$2:$O$200000,"Lf",$Q$2:$Q$200000,"C")/(COUNTIFS($M$2:$M$200000,$W2,$O$2:$O$200000,"Lf",$Q$2:$Q$200000,"C")+COUNTIFS($M$2:$M$200000,$W2,$O$2:$O$200000,"Lf",$Q$2:$Q$200000,"I"))</f>
        <v>1</v>
      </c>
      <c r="AQ2" s="20" t="e">
        <f>COUNTIFS($M$2:$M$200000,$W2,$O$2:$O$200000,"Rt",$Q$2:$Q$200000,"C")/(COUNTIFS($M$2:$M$200000,$W2,$O$2:$O$200000,"Rt",$Q$2:$Q$200000,"C")+COUNTIFS($M$2:$M$200000,$W2,$O$2:$O$200000,"Rt",$Q$2:$Q$200000,"I"))</f>
        <v>#DIV/0!</v>
      </c>
      <c r="AT2" s="20">
        <f>(COUNTIFS($Q$2:$Q$200000,"C",$M$2:$M$200000,$W2,$O$2:$O$200000,AT$1)/SUMIFS($R$2:$R$200000,$M$2:$M$200000,$W2,$O$2:$O$200000,AT$1))*60</f>
        <v>19.23076923076923</v>
      </c>
      <c r="AU2" s="20" t="e">
        <f>(COUNTIFS($Q$2:$Q$200000,"C",$M$2:$M$200000,$W2,$O$2:$O$200000,AU$1)/SUMIFS($R$2:$R$200000,$M$2:$M$200000,$W2,$O$2:$O$200000,AU$1))*60</f>
        <v>#DIV/0!</v>
      </c>
      <c r="AW2" s="20">
        <f>(COUNTIFS($Q$2:$Q$200000,"C",$M$2:$M$200000,$W2,$O$2:$O$200000,AW$1)/(SUMIFS($R$2:$R$200000,$M$2:$M$200000,$W2,$O$2:$O$200000,AW$1)-SUMIFS($T$2:$T$200000,$M$2:$M$200000,$W2,$O$2:$O$200000,AW$1)))*60</f>
        <v>101.69491525423732</v>
      </c>
      <c r="AX2" s="20" t="e">
        <f>(COUNTIFS($Q$2:$Q$200000,"C",$M$2:$M$200000,$W2,$O$2:$O$200000,AX$1)/(SUMIFS($R$2:$R$200000,$M$2:$M$200000,$W2,$O$2:$O$200000,AX$1)-SUMIFS($T$2:$T$200000,$M$2:$M$200000,$W2,$O$2:$O$200000,AX$1)))*60</f>
        <v>#DIV/0!</v>
      </c>
    </row>
    <row r="3" spans="1:50" ht="16" thickBot="1" x14ac:dyDescent="0.25">
      <c r="A3" t="s">
        <v>36</v>
      </c>
      <c r="B3" t="s">
        <v>35</v>
      </c>
      <c r="C3">
        <v>3</v>
      </c>
      <c r="D3">
        <v>1</v>
      </c>
      <c r="E3">
        <v>50</v>
      </c>
      <c r="F3">
        <v>1</v>
      </c>
      <c r="G3">
        <v>2</v>
      </c>
      <c r="H3">
        <v>0</v>
      </c>
      <c r="I3">
        <v>0</v>
      </c>
      <c r="J3">
        <v>0</v>
      </c>
      <c r="K3">
        <v>0</v>
      </c>
      <c r="L3">
        <v>0</v>
      </c>
      <c r="M3" s="14">
        <f t="shared" ref="M3:M4" si="3">IF(E3=0,M2+1,M2)</f>
        <v>1</v>
      </c>
      <c r="N3" s="15">
        <f t="shared" ref="N3:N4" si="4">IF(F3=0,0,IF(F3=2,N2+1,N2))</f>
        <v>0</v>
      </c>
      <c r="O3" s="15" t="str">
        <f t="shared" ref="O3:O6" si="5">IF(N3&gt;0,IF(F3=2,O4,IF(F3=3,"Lf",IF(F3=6,"Rt",O2))),"")</f>
        <v/>
      </c>
      <c r="P3" s="15" t="str">
        <f t="shared" ref="P3:P6" si="6">IF(N3&gt;1,IF(N3&lt;&gt;N2,CONCATENATE(O2,",",O3),P2),"")</f>
        <v/>
      </c>
      <c r="Q3" s="15" t="str">
        <f>IF(N3&gt;0,IF(O3="Lf",IF(OR(F3=3,F3=4),IF(I3=1,"C",IF(J3=1,"I",""))),IF(O3="Rt",IF(OR(F3=6,F3=7),IF(J3=1,"C",IF(I3=1,"I",""))))),"")</f>
        <v/>
      </c>
      <c r="R3" s="15" t="str">
        <f t="shared" ref="R3:R6" si="7">IF(OR(F3&lt;3,F3&gt;8,E3=0),"",E3/50-E2/50)</f>
        <v/>
      </c>
      <c r="S3" s="15" t="str">
        <f>IF(AND(R3&lt;&gt;"",R2=""),R3,IF(Q2="C","",IF(S2&lt;&gt;"",R3+S2,"")))</f>
        <v/>
      </c>
      <c r="T3" s="15" t="str">
        <f t="shared" ref="T3:T6" si="8">IF(AND(S4="",S3&lt;&gt;""),S3,"")</f>
        <v/>
      </c>
      <c r="U3" s="16">
        <f>IF($M3&lt;&gt;$M2,SUMIF($W$2:$W$203,$M3,$Y$2:$Y$203),$U2)</f>
        <v>1</v>
      </c>
      <c r="V3" s="24"/>
      <c r="W3">
        <v>2</v>
      </c>
      <c r="X3">
        <f t="array" ref="X3">MAX(IF($M$2:$M$200000=$W3,$N$2:$N$200000,""))</f>
        <v>0</v>
      </c>
      <c r="Y3">
        <v>1</v>
      </c>
      <c r="AA3" s="20" t="e">
        <f>(COUNTIFS($Q$2:$Q$200000,"C",$M$2:$M$200000,$W3,$P$2:$P$200000,AA$1)/SUMIFS($R$2:$R$200000,$M$2:$M$200000,$W3,$P$2:$P$200000,AA$1))*60</f>
        <v>#DIV/0!</v>
      </c>
      <c r="AB3" s="20" t="e">
        <f t="shared" si="0"/>
        <v>#DIV/0!</v>
      </c>
      <c r="AC3" s="20" t="e">
        <f t="shared" si="0"/>
        <v>#DIV/0!</v>
      </c>
      <c r="AD3" s="20" t="e">
        <f t="shared" si="0"/>
        <v>#DIV/0!</v>
      </c>
      <c r="AF3" s="20" t="e">
        <f>(COUNTIFS($Q$2:$Q$200000,"C",$M$2:$M$200000,$W3,$P$2:$P$200000,AF$1)/(SUMIFS($R$2:$R$200000,$M$2:$M$200000,$W3,$P$2:$P$200000,AF$1)-SUMIFS($T$2:$T$200000,$M$2:$M$200000,$W3,$P$2:$P$200000,AK$1)))*60</f>
        <v>#DIV/0!</v>
      </c>
      <c r="AG3" s="20" t="e">
        <f t="shared" si="1"/>
        <v>#DIV/0!</v>
      </c>
      <c r="AH3" s="20" t="e">
        <f t="shared" si="1"/>
        <v>#DIV/0!</v>
      </c>
      <c r="AI3" s="20" t="e">
        <f t="shared" si="1"/>
        <v>#DIV/0!</v>
      </c>
      <c r="AK3" s="20" t="e">
        <f t="shared" si="2"/>
        <v>#DIV/0!</v>
      </c>
      <c r="AL3" s="20" t="e">
        <f t="shared" si="2"/>
        <v>#DIV/0!</v>
      </c>
      <c r="AM3" s="20" t="e">
        <f t="shared" si="2"/>
        <v>#DIV/0!</v>
      </c>
      <c r="AN3" s="20" t="e">
        <f t="shared" si="2"/>
        <v>#DIV/0!</v>
      </c>
      <c r="AP3" s="20" t="e">
        <f t="shared" ref="AP3:AP28" si="9">COUNTIFS($M$2:$M$200000,$W3,$O$2:$O$200000,"Lf",$Q$2:$Q$200000,"C")/(COUNTIFS($M$2:$M$200000,$W3,$O$2:$O$200000,"Lf",$Q$2:$Q$200000,"C")+COUNTIFS($M$2:$M$200000,$W3,$O$2:$O$200000,"Lf",$Q$2:$Q$200000,"I"))</f>
        <v>#DIV/0!</v>
      </c>
      <c r="AQ3" s="20" t="e">
        <f t="shared" ref="AQ3:AQ28" si="10">COUNTIFS($M$2:$M$200000,$W3,$O$2:$O$200000,"Rt",$Q$2:$Q$200000,"C")/(COUNTIFS($M$2:$M$200000,$W3,$O$2:$O$200000,"Rt",$Q$2:$Q$200000,"C")+COUNTIFS($M$2:$M$200000,$W3,$O$2:$O$200000,"Rt",$Q$2:$Q$200000,"I"))</f>
        <v>#DIV/0!</v>
      </c>
      <c r="AT3" s="20" t="e">
        <f t="shared" ref="AT3:AU24" si="11">(COUNTIFS($Q$2:$Q$200000,"C",$M$2:$M$200000,$W3,$O$2:$O$200000,AT$1)/SUMIFS($R$2:$R$200000,$M$2:$M$200000,$W3,$O$2:$O$200000,AT$1))*60</f>
        <v>#DIV/0!</v>
      </c>
      <c r="AU3" s="20" t="e">
        <f t="shared" si="11"/>
        <v>#DIV/0!</v>
      </c>
      <c r="AW3" s="20" t="e">
        <f t="shared" ref="AW3:AX24" si="12">(COUNTIFS($Q$2:$Q$200000,"C",$M$2:$M$200000,$W3,$O$2:$O$200000,AW$1)/(SUMIFS($R$2:$R$200000,$M$2:$M$200000,$W3,$O$2:$O$200000,AW$1)-SUMIFS($T$2:$T$200000,$M$2:$M$200000,$W3,$O$2:$O$200000,AW$1)))*60</f>
        <v>#DIV/0!</v>
      </c>
      <c r="AX3" s="20" t="e">
        <f t="shared" si="12"/>
        <v>#DIV/0!</v>
      </c>
    </row>
    <row r="4" spans="1:50" ht="16" thickTop="1" x14ac:dyDescent="0.2">
      <c r="A4" t="s">
        <v>36</v>
      </c>
      <c r="B4" t="s">
        <v>35</v>
      </c>
      <c r="C4">
        <v>3</v>
      </c>
      <c r="D4">
        <v>1</v>
      </c>
      <c r="E4">
        <v>51</v>
      </c>
      <c r="F4">
        <v>2</v>
      </c>
      <c r="G4">
        <v>3</v>
      </c>
      <c r="H4">
        <v>0</v>
      </c>
      <c r="I4">
        <v>0</v>
      </c>
      <c r="J4">
        <v>0</v>
      </c>
      <c r="K4">
        <v>0</v>
      </c>
      <c r="L4">
        <v>0</v>
      </c>
      <c r="M4" s="9">
        <f t="shared" si="3"/>
        <v>1</v>
      </c>
      <c r="N4" s="10">
        <f t="shared" si="4"/>
        <v>1</v>
      </c>
      <c r="O4" s="10" t="str">
        <f t="shared" si="5"/>
        <v>Lf</v>
      </c>
      <c r="P4" s="10" t="str">
        <f t="shared" si="6"/>
        <v/>
      </c>
      <c r="Q4" s="10" t="str">
        <f>IF(N4&gt;0,IF(O4="Lf",IF(OR(F4=3,F4=4),IF(I4=1,"C",IF(J4=1,"I","")),""),      IF(O4="Rt",IF(OR(F4=6,F4=7),IF(J4=1,"C",IF(I4=1,"I","")),""))),"")</f>
        <v/>
      </c>
      <c r="R4" s="10" t="str">
        <f t="shared" si="7"/>
        <v/>
      </c>
      <c r="S4" s="10" t="str">
        <f t="shared" ref="S4:S6" si="13">IF(AND(R4&lt;&gt;"",R3=""),R4,IF(Q3="C","",IF(S3&lt;&gt;"",R4+S3,"")))</f>
        <v/>
      </c>
      <c r="T4" s="10" t="str">
        <f t="shared" si="8"/>
        <v/>
      </c>
      <c r="U4" s="11">
        <f>IF($M4&lt;&gt;$M3,SUMIF($W$2:$W$203,$M4,$Y$2:$Y$203),$U3)</f>
        <v>1</v>
      </c>
      <c r="V4" s="21" t="s">
        <v>29</v>
      </c>
      <c r="W4">
        <v>3</v>
      </c>
      <c r="X4">
        <f t="array" ref="X4">MAX(IF($M$2:$M$200000=$W4,$N$2:$N$200000,""))</f>
        <v>0</v>
      </c>
      <c r="Y4">
        <v>1</v>
      </c>
      <c r="AA4" s="20" t="e">
        <f t="shared" ref="AA4:AD25" si="14">(COUNTIFS($Q$2:$Q$200000,"C",$M$2:$M$200000,$W4,$P$2:$P$200000,AA$1)/SUMIFS($R$2:$R$200000,$M$2:$M$200000,$W4,$P$2:$P$200000,AA$1))*60</f>
        <v>#DIV/0!</v>
      </c>
      <c r="AB4" s="20" t="e">
        <f t="shared" si="0"/>
        <v>#DIV/0!</v>
      </c>
      <c r="AC4" s="20" t="e">
        <f t="shared" si="0"/>
        <v>#DIV/0!</v>
      </c>
      <c r="AD4" s="20" t="e">
        <f t="shared" si="0"/>
        <v>#DIV/0!</v>
      </c>
      <c r="AF4" s="20" t="e">
        <f t="shared" ref="AF4:AF7" si="15">(COUNTIFS($Q$2:$Q$200000,"C",$M$2:$M$200000,$W4,$P$2:$P$200000,AF$1)/(SUMIFS($R$2:$R$200000,$M$2:$M$200000,$W4,$P$2:$P$200000,AF$1)-SUMIFS($T$2:$T$200000,$M$2:$M$200000,$W4,$P$2:$P$200000,AK$1)))*60</f>
        <v>#DIV/0!</v>
      </c>
      <c r="AG4" s="20" t="e">
        <f t="shared" si="1"/>
        <v>#DIV/0!</v>
      </c>
      <c r="AH4" s="20" t="e">
        <f t="shared" si="1"/>
        <v>#DIV/0!</v>
      </c>
      <c r="AI4" s="20" t="e">
        <f t="shared" si="1"/>
        <v>#DIV/0!</v>
      </c>
      <c r="AK4" s="20" t="e">
        <f t="shared" si="2"/>
        <v>#DIV/0!</v>
      </c>
      <c r="AL4" s="20" t="e">
        <f t="shared" si="2"/>
        <v>#DIV/0!</v>
      </c>
      <c r="AM4" s="20" t="e">
        <f t="shared" si="2"/>
        <v>#DIV/0!</v>
      </c>
      <c r="AN4" s="20" t="e">
        <f t="shared" si="2"/>
        <v>#DIV/0!</v>
      </c>
      <c r="AP4" s="20" t="e">
        <f t="shared" si="9"/>
        <v>#DIV/0!</v>
      </c>
      <c r="AQ4" s="20" t="e">
        <f t="shared" si="10"/>
        <v>#DIV/0!</v>
      </c>
      <c r="AT4" s="20" t="e">
        <f t="shared" si="11"/>
        <v>#DIV/0!</v>
      </c>
      <c r="AU4" s="20" t="e">
        <f t="shared" si="11"/>
        <v>#DIV/0!</v>
      </c>
      <c r="AW4" s="20" t="e">
        <f t="shared" si="12"/>
        <v>#DIV/0!</v>
      </c>
      <c r="AX4" s="20" t="e">
        <f t="shared" si="12"/>
        <v>#DIV/0!</v>
      </c>
    </row>
    <row r="5" spans="1:50" ht="17.25" customHeight="1" thickBot="1" x14ac:dyDescent="0.25">
      <c r="A5" t="s">
        <v>36</v>
      </c>
      <c r="B5" t="s">
        <v>35</v>
      </c>
      <c r="C5">
        <v>3</v>
      </c>
      <c r="D5">
        <v>1</v>
      </c>
      <c r="E5">
        <v>304</v>
      </c>
      <c r="F5">
        <v>3</v>
      </c>
      <c r="G5">
        <v>5</v>
      </c>
      <c r="H5">
        <v>1</v>
      </c>
      <c r="I5">
        <v>1</v>
      </c>
      <c r="J5">
        <v>0</v>
      </c>
      <c r="K5">
        <v>0</v>
      </c>
      <c r="L5">
        <v>0</v>
      </c>
      <c r="M5" s="8">
        <f t="shared" ref="M5:M6" si="16">IF(E5=0,M4+1,M4)</f>
        <v>1</v>
      </c>
      <c r="N5">
        <f t="shared" ref="N5:N6" si="17">IF(F5=0,0,IF(F5=2,N4+1,N4))</f>
        <v>1</v>
      </c>
      <c r="O5" t="str">
        <f t="shared" si="5"/>
        <v>Lf</v>
      </c>
      <c r="P5" t="str">
        <f t="shared" si="6"/>
        <v/>
      </c>
      <c r="Q5" t="str">
        <f t="shared" ref="Q5:Q6" si="18">IF(N5&gt;0,IF(O5="Lf",IF(OR(F5=3,F5=4),IF(I5=1,"C",IF(J5=1,"I","")),""),      IF(O5="Rt",IF(OR(F5=6,F5=7),IF(J5=1,"C",IF(I5=1,"I","")),""))),"")</f>
        <v>C</v>
      </c>
      <c r="R5">
        <f t="shared" si="7"/>
        <v>5.0600000000000005</v>
      </c>
      <c r="S5">
        <f t="shared" si="13"/>
        <v>5.0600000000000005</v>
      </c>
      <c r="T5">
        <f t="shared" si="8"/>
        <v>5.0600000000000005</v>
      </c>
      <c r="U5">
        <f>IF($M5&lt;&gt;$M4,SUMIF($W$2:$W$203,$M5,$Y$2:$Y$203),$U4)</f>
        <v>1</v>
      </c>
      <c r="V5" s="22"/>
    </row>
    <row r="6" spans="1:50" ht="16" thickTop="1" x14ac:dyDescent="0.2">
      <c r="A6" t="s">
        <v>36</v>
      </c>
      <c r="B6" t="s">
        <v>35</v>
      </c>
      <c r="C6">
        <v>3</v>
      </c>
      <c r="D6">
        <v>1</v>
      </c>
      <c r="E6">
        <v>314</v>
      </c>
      <c r="F6">
        <v>5</v>
      </c>
      <c r="G6">
        <v>4</v>
      </c>
      <c r="H6">
        <v>0</v>
      </c>
      <c r="I6">
        <v>0</v>
      </c>
      <c r="J6">
        <v>0</v>
      </c>
      <c r="K6">
        <v>0</v>
      </c>
      <c r="L6">
        <v>0</v>
      </c>
      <c r="M6" s="8">
        <f t="shared" si="16"/>
        <v>1</v>
      </c>
      <c r="N6">
        <f t="shared" si="17"/>
        <v>1</v>
      </c>
      <c r="O6" t="str">
        <f t="shared" si="5"/>
        <v>Lf</v>
      </c>
      <c r="P6" t="str">
        <f t="shared" si="6"/>
        <v/>
      </c>
      <c r="Q6" t="str">
        <f t="shared" si="18"/>
        <v/>
      </c>
      <c r="R6">
        <f t="shared" si="7"/>
        <v>0.20000000000000018</v>
      </c>
      <c r="S6" t="str">
        <f t="shared" si="13"/>
        <v/>
      </c>
      <c r="T6" t="str">
        <f t="shared" si="8"/>
        <v/>
      </c>
      <c r="U6">
        <f>IF($M6&lt;&gt;$M5,SUMIF($W$2:$W$203,$M6,$Y$2:$Y$203),$U5)</f>
        <v>1</v>
      </c>
      <c r="W6">
        <v>4</v>
      </c>
      <c r="X6">
        <f t="array" ref="X6">MAX(IF($M$2:$M$200000=$W6,$N$2:$N$200000,""))</f>
        <v>0</v>
      </c>
      <c r="Y6">
        <v>2</v>
      </c>
      <c r="AA6" s="20" t="e">
        <f t="shared" si="14"/>
        <v>#DIV/0!</v>
      </c>
      <c r="AB6" s="20" t="e">
        <f t="shared" si="0"/>
        <v>#DIV/0!</v>
      </c>
      <c r="AC6" s="20" t="e">
        <f t="shared" si="0"/>
        <v>#DIV/0!</v>
      </c>
      <c r="AD6" s="20" t="e">
        <f t="shared" si="0"/>
        <v>#DIV/0!</v>
      </c>
      <c r="AF6" s="20" t="e">
        <f t="shared" si="15"/>
        <v>#DIV/0!</v>
      </c>
      <c r="AG6" s="20" t="e">
        <f t="shared" si="1"/>
        <v>#DIV/0!</v>
      </c>
      <c r="AH6" s="20" t="e">
        <f t="shared" si="1"/>
        <v>#DIV/0!</v>
      </c>
      <c r="AI6" s="20" t="e">
        <f t="shared" si="1"/>
        <v>#DIV/0!</v>
      </c>
      <c r="AK6" s="20" t="e">
        <f t="shared" si="2"/>
        <v>#DIV/0!</v>
      </c>
      <c r="AL6" s="20" t="e">
        <f t="shared" si="2"/>
        <v>#DIV/0!</v>
      </c>
      <c r="AM6" s="20" t="e">
        <f t="shared" si="2"/>
        <v>#DIV/0!</v>
      </c>
      <c r="AN6" s="20" t="e">
        <f t="shared" si="2"/>
        <v>#DIV/0!</v>
      </c>
      <c r="AP6" s="20" t="e">
        <f t="shared" si="9"/>
        <v>#DIV/0!</v>
      </c>
      <c r="AQ6" s="20" t="e">
        <f t="shared" si="10"/>
        <v>#DIV/0!</v>
      </c>
      <c r="AT6" s="20" t="e">
        <f t="shared" si="11"/>
        <v>#DIV/0!</v>
      </c>
      <c r="AU6" s="20" t="e">
        <f t="shared" si="11"/>
        <v>#DIV/0!</v>
      </c>
      <c r="AW6" s="20" t="e">
        <f t="shared" si="12"/>
        <v>#DIV/0!</v>
      </c>
      <c r="AX6" s="20" t="e">
        <f t="shared" si="12"/>
        <v>#DIV/0!</v>
      </c>
    </row>
    <row r="7" spans="1:50" x14ac:dyDescent="0.2">
      <c r="A7" t="s">
        <v>36</v>
      </c>
      <c r="B7" t="s">
        <v>35</v>
      </c>
      <c r="C7">
        <v>3</v>
      </c>
      <c r="D7">
        <v>1</v>
      </c>
      <c r="E7">
        <v>348</v>
      </c>
      <c r="F7">
        <v>4</v>
      </c>
      <c r="G7">
        <v>0</v>
      </c>
      <c r="H7">
        <v>0</v>
      </c>
      <c r="I7">
        <v>0</v>
      </c>
      <c r="J7">
        <v>0</v>
      </c>
      <c r="K7">
        <v>1</v>
      </c>
      <c r="L7">
        <v>0</v>
      </c>
      <c r="M7" s="8">
        <f t="shared" ref="M7:M9" si="19">IF(E7=0,M6+1,M6)</f>
        <v>1</v>
      </c>
      <c r="N7">
        <f t="shared" ref="N7:N9" si="20">IF(F7=0,0,IF(F7=2,N6+1,N6))</f>
        <v>1</v>
      </c>
      <c r="O7" t="str">
        <f t="shared" ref="O7:O9" si="21">IF(N7&gt;0,IF(F7=2,O8,IF(F7=3,"Lf",IF(F7=6,"Rt",O6))),"")</f>
        <v>Lf</v>
      </c>
      <c r="P7" t="str">
        <f t="shared" ref="P7:P9" si="22">IF(N7&gt;1,IF(N7&lt;&gt;N6,CONCATENATE(O6,",",O7),P6),"")</f>
        <v/>
      </c>
      <c r="Q7" t="str">
        <f t="shared" ref="Q7:Q9" si="23">IF(N7&gt;0,IF(O7="Lf",IF(OR(F7=3,F7=4),IF(I7=1,"C",IF(J7=1,"I","")),""),      IF(O7="Rt",IF(OR(F7=6,F7=7),IF(J7=1,"C",IF(I7=1,"I","")),""))),"")</f>
        <v/>
      </c>
      <c r="R7">
        <f t="shared" ref="R7:R9" si="24">IF(OR(F7&lt;3,F7&gt;8,E7=0),"",E7/50-E6/50)</f>
        <v>0.67999999999999972</v>
      </c>
      <c r="S7" t="str">
        <f t="shared" ref="S7:S9" si="25">IF(AND(R7&lt;&gt;"",R6=""),R7,IF(Q6="C","",IF(S6&lt;&gt;"",R7+S6,"")))</f>
        <v/>
      </c>
      <c r="T7" t="str">
        <f t="shared" ref="T7:T9" si="26">IF(AND(S8="",S7&lt;&gt;""),S7,"")</f>
        <v/>
      </c>
      <c r="U7">
        <f t="shared" ref="U7:U70" si="27">IF($M7&lt;&gt;$M6,SUMIF($W$2:$W$203,$M7,$Y$2:$Y$203),$U6)</f>
        <v>1</v>
      </c>
      <c r="W7">
        <v>5</v>
      </c>
      <c r="X7">
        <f t="array" ref="X7">MAX(IF($M$2:$M$200000=$W7,$N$2:$N$200000,""))</f>
        <v>0</v>
      </c>
      <c r="Y7">
        <v>2</v>
      </c>
      <c r="AA7" s="20" t="e">
        <f t="shared" si="14"/>
        <v>#DIV/0!</v>
      </c>
      <c r="AB7" s="20" t="e">
        <f t="shared" si="0"/>
        <v>#DIV/0!</v>
      </c>
      <c r="AC7" s="20" t="e">
        <f t="shared" si="0"/>
        <v>#DIV/0!</v>
      </c>
      <c r="AD7" s="20" t="e">
        <f t="shared" si="0"/>
        <v>#DIV/0!</v>
      </c>
      <c r="AF7" s="20" t="e">
        <f t="shared" si="15"/>
        <v>#DIV/0!</v>
      </c>
      <c r="AG7" s="20" t="e">
        <f t="shared" si="1"/>
        <v>#DIV/0!</v>
      </c>
      <c r="AH7" s="20" t="e">
        <f t="shared" si="1"/>
        <v>#DIV/0!</v>
      </c>
      <c r="AI7" s="20" t="e">
        <f t="shared" si="1"/>
        <v>#DIV/0!</v>
      </c>
      <c r="AK7" s="20" t="e">
        <f t="shared" si="2"/>
        <v>#DIV/0!</v>
      </c>
      <c r="AL7" s="20" t="e">
        <f t="shared" si="2"/>
        <v>#DIV/0!</v>
      </c>
      <c r="AM7" s="20" t="e">
        <f t="shared" si="2"/>
        <v>#DIV/0!</v>
      </c>
      <c r="AN7" s="20" t="e">
        <f t="shared" si="2"/>
        <v>#DIV/0!</v>
      </c>
      <c r="AP7" s="20" t="e">
        <f t="shared" si="9"/>
        <v>#DIV/0!</v>
      </c>
      <c r="AQ7" s="20" t="e">
        <f t="shared" si="10"/>
        <v>#DIV/0!</v>
      </c>
      <c r="AT7" s="20" t="e">
        <f t="shared" si="11"/>
        <v>#DIV/0!</v>
      </c>
      <c r="AU7" s="20" t="e">
        <f t="shared" si="11"/>
        <v>#DIV/0!</v>
      </c>
      <c r="AW7" s="20" t="e">
        <f t="shared" si="12"/>
        <v>#DIV/0!</v>
      </c>
      <c r="AX7" s="20" t="e">
        <f t="shared" si="12"/>
        <v>#DIV/0!</v>
      </c>
    </row>
    <row r="8" spans="1:50" x14ac:dyDescent="0.2">
      <c r="A8" t="s">
        <v>36</v>
      </c>
      <c r="B8" t="s">
        <v>35</v>
      </c>
      <c r="C8">
        <v>3</v>
      </c>
      <c r="D8">
        <v>1</v>
      </c>
      <c r="E8">
        <v>353</v>
      </c>
      <c r="F8">
        <v>4</v>
      </c>
      <c r="G8">
        <v>5</v>
      </c>
      <c r="H8">
        <v>1</v>
      </c>
      <c r="I8">
        <v>1</v>
      </c>
      <c r="J8">
        <v>0</v>
      </c>
      <c r="K8">
        <v>0</v>
      </c>
      <c r="L8">
        <v>0</v>
      </c>
      <c r="M8" s="8">
        <f t="shared" si="19"/>
        <v>1</v>
      </c>
      <c r="N8">
        <f t="shared" si="20"/>
        <v>1</v>
      </c>
      <c r="O8" t="str">
        <f t="shared" si="21"/>
        <v>Lf</v>
      </c>
      <c r="P8" t="str">
        <f t="shared" si="22"/>
        <v/>
      </c>
      <c r="Q8" t="str">
        <f t="shared" si="23"/>
        <v>C</v>
      </c>
      <c r="R8">
        <f t="shared" si="24"/>
        <v>9.9999999999999645E-2</v>
      </c>
      <c r="S8" t="str">
        <f t="shared" si="25"/>
        <v/>
      </c>
      <c r="T8" t="str">
        <f t="shared" si="26"/>
        <v/>
      </c>
      <c r="U8">
        <f t="shared" si="27"/>
        <v>1</v>
      </c>
      <c r="W8">
        <v>6</v>
      </c>
      <c r="X8">
        <f t="array" ref="X8">MAX(IF($M$2:$M$200000=$W8,$N$2:$N$200000,""))</f>
        <v>0</v>
      </c>
      <c r="Y8">
        <v>2</v>
      </c>
      <c r="AA8" s="20" t="e">
        <f t="shared" si="14"/>
        <v>#DIV/0!</v>
      </c>
      <c r="AB8" s="20" t="e">
        <f t="shared" si="0"/>
        <v>#DIV/0!</v>
      </c>
      <c r="AC8" s="20" t="e">
        <f t="shared" si="0"/>
        <v>#DIV/0!</v>
      </c>
      <c r="AD8" s="20" t="e">
        <f t="shared" si="0"/>
        <v>#DIV/0!</v>
      </c>
      <c r="AF8" s="20" t="e">
        <f t="shared" ref="AF8:AF10" si="28">(COUNTIFS($Q$2:$Q$200000,"C",$M$2:$M$200000,$W8,$P$2:$P$200000,AF$1)/(SUMIFS($R$2:$R$200000,$M$2:$M$200000,$W8,$P$2:$P$200000,AF$1)-SUMIFS($T$2:$T$200000,$M$2:$M$200000,$W8,$P$2:$P$200000,AK$1)))*60</f>
        <v>#DIV/0!</v>
      </c>
      <c r="AG8" s="20" t="e">
        <f t="shared" ref="AG8:AG10" si="29">(COUNTIFS($Q$2:$Q$200000,"C",$M$2:$M$200000,$W8,$P$2:$P$200000,AG$1)/(SUMIFS($R$2:$R$200000,$M$2:$M$200000,$W8,$P$2:$P$200000,AG$1)-SUMIFS($T$2:$T$200000,$M$2:$M$200000,$W8,$P$2:$P$200000,AL$1)))*60</f>
        <v>#DIV/0!</v>
      </c>
      <c r="AH8" s="20" t="e">
        <f t="shared" ref="AH8:AH10" si="30">(COUNTIFS($Q$2:$Q$200000,"C",$M$2:$M$200000,$W8,$P$2:$P$200000,AH$1)/(SUMIFS($R$2:$R$200000,$M$2:$M$200000,$W8,$P$2:$P$200000,AH$1)-SUMIFS($T$2:$T$200000,$M$2:$M$200000,$W8,$P$2:$P$200000,AM$1)))*60</f>
        <v>#DIV/0!</v>
      </c>
      <c r="AI8" s="20" t="e">
        <f t="shared" ref="AI8:AI10" si="31">(COUNTIFS($Q$2:$Q$200000,"C",$M$2:$M$200000,$W8,$P$2:$P$200000,AI$1)/(SUMIFS($R$2:$R$200000,$M$2:$M$200000,$W8,$P$2:$P$200000,AI$1)-SUMIFS($T$2:$T$200000,$M$2:$M$200000,$W8,$P$2:$P$200000,AN$1)))*60</f>
        <v>#DIV/0!</v>
      </c>
      <c r="AK8" s="20" t="e">
        <f t="shared" si="2"/>
        <v>#DIV/0!</v>
      </c>
      <c r="AL8" s="20" t="e">
        <f t="shared" si="2"/>
        <v>#DIV/0!</v>
      </c>
      <c r="AM8" s="20" t="e">
        <f t="shared" si="2"/>
        <v>#DIV/0!</v>
      </c>
      <c r="AN8" s="20" t="e">
        <f t="shared" si="2"/>
        <v>#DIV/0!</v>
      </c>
      <c r="AP8" s="20" t="e">
        <f t="shared" si="9"/>
        <v>#DIV/0!</v>
      </c>
      <c r="AQ8" s="20" t="e">
        <f t="shared" si="10"/>
        <v>#DIV/0!</v>
      </c>
      <c r="AT8" s="20" t="e">
        <f t="shared" si="11"/>
        <v>#DIV/0!</v>
      </c>
      <c r="AU8" s="20" t="e">
        <f t="shared" si="11"/>
        <v>#DIV/0!</v>
      </c>
      <c r="AW8" s="20" t="e">
        <f t="shared" si="12"/>
        <v>#DIV/0!</v>
      </c>
      <c r="AX8" s="20" t="e">
        <f t="shared" si="12"/>
        <v>#DIV/0!</v>
      </c>
    </row>
    <row r="9" spans="1:50" x14ac:dyDescent="0.2">
      <c r="A9" t="s">
        <v>36</v>
      </c>
      <c r="B9" t="s">
        <v>35</v>
      </c>
      <c r="C9">
        <v>3</v>
      </c>
      <c r="D9">
        <v>1</v>
      </c>
      <c r="E9">
        <v>363</v>
      </c>
      <c r="F9">
        <v>5</v>
      </c>
      <c r="G9">
        <v>4</v>
      </c>
      <c r="H9">
        <v>0</v>
      </c>
      <c r="I9">
        <v>0</v>
      </c>
      <c r="J9">
        <v>0</v>
      </c>
      <c r="K9">
        <v>0</v>
      </c>
      <c r="L9">
        <v>0</v>
      </c>
      <c r="M9" s="8">
        <f t="shared" si="19"/>
        <v>1</v>
      </c>
      <c r="N9">
        <f t="shared" si="20"/>
        <v>1</v>
      </c>
      <c r="O9" t="str">
        <f t="shared" si="21"/>
        <v>Lf</v>
      </c>
      <c r="P9" t="str">
        <f t="shared" si="22"/>
        <v/>
      </c>
      <c r="Q9" t="str">
        <f t="shared" si="23"/>
        <v/>
      </c>
      <c r="R9">
        <f t="shared" si="24"/>
        <v>0.20000000000000018</v>
      </c>
      <c r="S9" t="str">
        <f t="shared" si="25"/>
        <v/>
      </c>
      <c r="T9" t="str">
        <f t="shared" si="26"/>
        <v/>
      </c>
      <c r="U9">
        <f t="shared" si="27"/>
        <v>1</v>
      </c>
    </row>
    <row r="10" spans="1:50" x14ac:dyDescent="0.2">
      <c r="W10">
        <v>7</v>
      </c>
      <c r="X10">
        <f t="array" ref="X10">MAX(IF($M$2:$M$200000=$W10,$N$2:$N$200000,""))</f>
        <v>0</v>
      </c>
      <c r="Y10">
        <v>3</v>
      </c>
      <c r="AA10" s="20" t="e">
        <f t="shared" si="14"/>
        <v>#DIV/0!</v>
      </c>
      <c r="AB10" s="20" t="e">
        <f t="shared" si="0"/>
        <v>#DIV/0!</v>
      </c>
      <c r="AC10" s="20" t="e">
        <f t="shared" si="0"/>
        <v>#DIV/0!</v>
      </c>
      <c r="AD10" s="20" t="e">
        <f t="shared" si="0"/>
        <v>#DIV/0!</v>
      </c>
      <c r="AF10" s="20" t="e">
        <f t="shared" si="28"/>
        <v>#DIV/0!</v>
      </c>
      <c r="AG10" s="20" t="e">
        <f t="shared" si="29"/>
        <v>#DIV/0!</v>
      </c>
      <c r="AH10" s="20" t="e">
        <f t="shared" si="30"/>
        <v>#DIV/0!</v>
      </c>
      <c r="AI10" s="20" t="e">
        <f t="shared" si="31"/>
        <v>#DIV/0!</v>
      </c>
      <c r="AK10" s="20" t="e">
        <f t="shared" si="2"/>
        <v>#DIV/0!</v>
      </c>
      <c r="AL10" s="20" t="e">
        <f t="shared" si="2"/>
        <v>#DIV/0!</v>
      </c>
      <c r="AM10" s="20" t="e">
        <f t="shared" si="2"/>
        <v>#DIV/0!</v>
      </c>
      <c r="AN10" s="20" t="e">
        <f t="shared" si="2"/>
        <v>#DIV/0!</v>
      </c>
      <c r="AP10" s="20" t="e">
        <f t="shared" si="9"/>
        <v>#DIV/0!</v>
      </c>
      <c r="AQ10" s="20" t="e">
        <f t="shared" si="10"/>
        <v>#DIV/0!</v>
      </c>
      <c r="AT10" s="20" t="e">
        <f t="shared" si="11"/>
        <v>#DIV/0!</v>
      </c>
      <c r="AU10" s="20" t="e">
        <f t="shared" si="11"/>
        <v>#DIV/0!</v>
      </c>
      <c r="AW10" s="20" t="e">
        <f t="shared" si="12"/>
        <v>#DIV/0!</v>
      </c>
      <c r="AX10" s="20" t="e">
        <f t="shared" si="12"/>
        <v>#DIV/0!</v>
      </c>
    </row>
    <row r="11" spans="1:50" x14ac:dyDescent="0.2">
      <c r="W11">
        <v>8</v>
      </c>
      <c r="X11">
        <f t="array" ref="X11">MAX(IF($M$2:$M$200000=$W11,$N$2:$N$200000,""))</f>
        <v>0</v>
      </c>
      <c r="Y11">
        <v>3</v>
      </c>
      <c r="AA11" s="20" t="e">
        <f t="shared" si="14"/>
        <v>#DIV/0!</v>
      </c>
      <c r="AB11" s="20" t="e">
        <f t="shared" si="0"/>
        <v>#DIV/0!</v>
      </c>
      <c r="AC11" s="20" t="e">
        <f t="shared" si="0"/>
        <v>#DIV/0!</v>
      </c>
      <c r="AD11" s="20" t="e">
        <f t="shared" si="0"/>
        <v>#DIV/0!</v>
      </c>
      <c r="AF11" s="20" t="e">
        <f t="shared" ref="AF11:AF14" si="32">(COUNTIFS($Q$2:$Q$200000,"C",$M$2:$M$200000,$W11,$P$2:$P$200000,AF$1)/(SUMIFS($R$2:$R$200000,$M$2:$M$200000,$W11,$P$2:$P$200000,AF$1)-SUMIFS($T$2:$T$200000,$M$2:$M$200000,$W11,$P$2:$P$200000,AK$1)))*60</f>
        <v>#DIV/0!</v>
      </c>
      <c r="AG11" s="20" t="e">
        <f t="shared" ref="AG11:AG14" si="33">(COUNTIFS($Q$2:$Q$200000,"C",$M$2:$M$200000,$W11,$P$2:$P$200000,AG$1)/(SUMIFS($R$2:$R$200000,$M$2:$M$200000,$W11,$P$2:$P$200000,AG$1)-SUMIFS($T$2:$T$200000,$M$2:$M$200000,$W11,$P$2:$P$200000,AL$1)))*60</f>
        <v>#DIV/0!</v>
      </c>
      <c r="AH11" s="20" t="e">
        <f t="shared" ref="AH11:AH14" si="34">(COUNTIFS($Q$2:$Q$200000,"C",$M$2:$M$200000,$W11,$P$2:$P$200000,AH$1)/(SUMIFS($R$2:$R$200000,$M$2:$M$200000,$W11,$P$2:$P$200000,AH$1)-SUMIFS($T$2:$T$200000,$M$2:$M$200000,$W11,$P$2:$P$200000,AM$1)))*60</f>
        <v>#DIV/0!</v>
      </c>
      <c r="AI11" s="20" t="e">
        <f t="shared" ref="AI11:AI14" si="35">(COUNTIFS($Q$2:$Q$200000,"C",$M$2:$M$200000,$W11,$P$2:$P$200000,AI$1)/(SUMIFS($R$2:$R$200000,$M$2:$M$200000,$W11,$P$2:$P$200000,AI$1)-SUMIFS($T$2:$T$200000,$M$2:$M$200000,$W11,$P$2:$P$200000,AN$1)))*60</f>
        <v>#DIV/0!</v>
      </c>
      <c r="AK11" s="20" t="e">
        <f t="shared" si="2"/>
        <v>#DIV/0!</v>
      </c>
      <c r="AL11" s="20" t="e">
        <f t="shared" si="2"/>
        <v>#DIV/0!</v>
      </c>
      <c r="AM11" s="20" t="e">
        <f t="shared" si="2"/>
        <v>#DIV/0!</v>
      </c>
      <c r="AN11" s="20" t="e">
        <f t="shared" si="2"/>
        <v>#DIV/0!</v>
      </c>
      <c r="AP11" s="20" t="e">
        <f t="shared" si="9"/>
        <v>#DIV/0!</v>
      </c>
      <c r="AQ11" s="20" t="e">
        <f t="shared" si="10"/>
        <v>#DIV/0!</v>
      </c>
      <c r="AT11" s="20" t="e">
        <f t="shared" si="11"/>
        <v>#DIV/0!</v>
      </c>
      <c r="AU11" s="20" t="e">
        <f t="shared" si="11"/>
        <v>#DIV/0!</v>
      </c>
      <c r="AW11" s="20" t="e">
        <f t="shared" si="12"/>
        <v>#DIV/0!</v>
      </c>
      <c r="AX11" s="20" t="e">
        <f t="shared" si="12"/>
        <v>#DIV/0!</v>
      </c>
    </row>
    <row r="12" spans="1:50" x14ac:dyDescent="0.2">
      <c r="W12">
        <v>9</v>
      </c>
      <c r="X12">
        <f t="array" ref="X12">MAX(IF($M$2:$M$200000=$W12,$N$2:$N$200000,""))</f>
        <v>0</v>
      </c>
      <c r="Y12">
        <v>3</v>
      </c>
      <c r="AA12" s="20" t="e">
        <f t="shared" si="14"/>
        <v>#DIV/0!</v>
      </c>
      <c r="AB12" s="20" t="e">
        <f t="shared" si="0"/>
        <v>#DIV/0!</v>
      </c>
      <c r="AC12" s="20" t="e">
        <f t="shared" si="0"/>
        <v>#DIV/0!</v>
      </c>
      <c r="AD12" s="20" t="e">
        <f t="shared" si="0"/>
        <v>#DIV/0!</v>
      </c>
      <c r="AF12" s="20" t="e">
        <f t="shared" si="32"/>
        <v>#DIV/0!</v>
      </c>
      <c r="AG12" s="20" t="e">
        <f t="shared" si="33"/>
        <v>#DIV/0!</v>
      </c>
      <c r="AH12" s="20" t="e">
        <f t="shared" si="34"/>
        <v>#DIV/0!</v>
      </c>
      <c r="AI12" s="20" t="e">
        <f t="shared" si="35"/>
        <v>#DIV/0!</v>
      </c>
      <c r="AK12" s="20" t="e">
        <f t="shared" si="2"/>
        <v>#DIV/0!</v>
      </c>
      <c r="AL12" s="20" t="e">
        <f t="shared" si="2"/>
        <v>#DIV/0!</v>
      </c>
      <c r="AM12" s="20" t="e">
        <f t="shared" si="2"/>
        <v>#DIV/0!</v>
      </c>
      <c r="AN12" s="20" t="e">
        <f t="shared" si="2"/>
        <v>#DIV/0!</v>
      </c>
      <c r="AP12" s="20" t="e">
        <f t="shared" si="9"/>
        <v>#DIV/0!</v>
      </c>
      <c r="AQ12" s="20" t="e">
        <f t="shared" si="10"/>
        <v>#DIV/0!</v>
      </c>
      <c r="AT12" s="20" t="e">
        <f t="shared" si="11"/>
        <v>#DIV/0!</v>
      </c>
      <c r="AU12" s="20" t="e">
        <f t="shared" si="11"/>
        <v>#DIV/0!</v>
      </c>
      <c r="AW12" s="20" t="e">
        <f t="shared" si="12"/>
        <v>#DIV/0!</v>
      </c>
      <c r="AX12" s="20" t="e">
        <f t="shared" si="12"/>
        <v>#DIV/0!</v>
      </c>
    </row>
    <row r="14" spans="1:50" x14ac:dyDescent="0.2">
      <c r="W14">
        <v>10</v>
      </c>
      <c r="X14">
        <f t="array" ref="X14">MAX(IF($M$2:$M$200000=$W14,$N$2:$N$200000,""))</f>
        <v>0</v>
      </c>
      <c r="Y14">
        <v>4</v>
      </c>
      <c r="AA14" s="20" t="e">
        <f t="shared" si="14"/>
        <v>#DIV/0!</v>
      </c>
      <c r="AB14" s="20" t="e">
        <f t="shared" si="0"/>
        <v>#DIV/0!</v>
      </c>
      <c r="AC14" s="20" t="e">
        <f t="shared" si="0"/>
        <v>#DIV/0!</v>
      </c>
      <c r="AD14" s="20" t="e">
        <f t="shared" si="0"/>
        <v>#DIV/0!</v>
      </c>
      <c r="AF14" s="20" t="e">
        <f t="shared" si="32"/>
        <v>#DIV/0!</v>
      </c>
      <c r="AG14" s="20" t="e">
        <f t="shared" si="33"/>
        <v>#DIV/0!</v>
      </c>
      <c r="AH14" s="20" t="e">
        <f t="shared" si="34"/>
        <v>#DIV/0!</v>
      </c>
      <c r="AI14" s="20" t="e">
        <f t="shared" si="35"/>
        <v>#DIV/0!</v>
      </c>
      <c r="AK14" s="20" t="e">
        <f t="shared" si="2"/>
        <v>#DIV/0!</v>
      </c>
      <c r="AL14" s="20" t="e">
        <f t="shared" si="2"/>
        <v>#DIV/0!</v>
      </c>
      <c r="AM14" s="20" t="e">
        <f t="shared" si="2"/>
        <v>#DIV/0!</v>
      </c>
      <c r="AN14" s="20" t="e">
        <f t="shared" si="2"/>
        <v>#DIV/0!</v>
      </c>
      <c r="AP14" s="20" t="e">
        <f t="shared" si="9"/>
        <v>#DIV/0!</v>
      </c>
      <c r="AQ14" s="20" t="e">
        <f t="shared" si="10"/>
        <v>#DIV/0!</v>
      </c>
      <c r="AT14" s="20" t="e">
        <f t="shared" si="11"/>
        <v>#DIV/0!</v>
      </c>
      <c r="AU14" s="20" t="e">
        <f t="shared" si="11"/>
        <v>#DIV/0!</v>
      </c>
      <c r="AW14" s="20" t="e">
        <f t="shared" si="12"/>
        <v>#DIV/0!</v>
      </c>
      <c r="AX14" s="20" t="e">
        <f t="shared" si="12"/>
        <v>#DIV/0!</v>
      </c>
    </row>
    <row r="15" spans="1:50" x14ac:dyDescent="0.2">
      <c r="W15">
        <v>11</v>
      </c>
      <c r="X15">
        <f t="array" ref="X15">MAX(IF($M$2:$M$200000=$W15,$N$2:$N$200000,""))</f>
        <v>0</v>
      </c>
      <c r="Y15">
        <v>4</v>
      </c>
      <c r="AA15" s="20" t="e">
        <f t="shared" si="14"/>
        <v>#DIV/0!</v>
      </c>
      <c r="AB15" s="20" t="e">
        <f t="shared" si="0"/>
        <v>#DIV/0!</v>
      </c>
      <c r="AC15" s="20" t="e">
        <f t="shared" si="0"/>
        <v>#DIV/0!</v>
      </c>
      <c r="AD15" s="20" t="e">
        <f t="shared" si="0"/>
        <v>#DIV/0!</v>
      </c>
      <c r="AF15" s="20" t="e">
        <f t="shared" ref="AF15:AF16" si="36">(COUNTIFS($Q$2:$Q$200000,"C",$M$2:$M$200000,$W15,$P$2:$P$200000,AF$1)/(SUMIFS($R$2:$R$200000,$M$2:$M$200000,$W15,$P$2:$P$200000,AF$1)-SUMIFS($T$2:$T$200000,$M$2:$M$200000,$W15,$P$2:$P$200000,AK$1)))*60</f>
        <v>#DIV/0!</v>
      </c>
      <c r="AG15" s="20" t="e">
        <f t="shared" ref="AG15:AG16" si="37">(COUNTIFS($Q$2:$Q$200000,"C",$M$2:$M$200000,$W15,$P$2:$P$200000,AG$1)/(SUMIFS($R$2:$R$200000,$M$2:$M$200000,$W15,$P$2:$P$200000,AG$1)-SUMIFS($T$2:$T$200000,$M$2:$M$200000,$W15,$P$2:$P$200000,AL$1)))*60</f>
        <v>#DIV/0!</v>
      </c>
      <c r="AH15" s="20" t="e">
        <f t="shared" ref="AH15:AH16" si="38">(COUNTIFS($Q$2:$Q$200000,"C",$M$2:$M$200000,$W15,$P$2:$P$200000,AH$1)/(SUMIFS($R$2:$R$200000,$M$2:$M$200000,$W15,$P$2:$P$200000,AH$1)-SUMIFS($T$2:$T$200000,$M$2:$M$200000,$W15,$P$2:$P$200000,AM$1)))*60</f>
        <v>#DIV/0!</v>
      </c>
      <c r="AI15" s="20" t="e">
        <f t="shared" ref="AI15:AI16" si="39">(COUNTIFS($Q$2:$Q$200000,"C",$M$2:$M$200000,$W15,$P$2:$P$200000,AI$1)/(SUMIFS($R$2:$R$200000,$M$2:$M$200000,$W15,$P$2:$P$200000,AI$1)-SUMIFS($T$2:$T$200000,$M$2:$M$200000,$W15,$P$2:$P$200000,AN$1)))*60</f>
        <v>#DIV/0!</v>
      </c>
      <c r="AK15" s="20" t="e">
        <f t="shared" si="2"/>
        <v>#DIV/0!</v>
      </c>
      <c r="AL15" s="20" t="e">
        <f t="shared" si="2"/>
        <v>#DIV/0!</v>
      </c>
      <c r="AM15" s="20" t="e">
        <f t="shared" si="2"/>
        <v>#DIV/0!</v>
      </c>
      <c r="AN15" s="20" t="e">
        <f t="shared" si="2"/>
        <v>#DIV/0!</v>
      </c>
      <c r="AP15" s="20" t="e">
        <f t="shared" si="9"/>
        <v>#DIV/0!</v>
      </c>
      <c r="AQ15" s="20" t="e">
        <f t="shared" si="10"/>
        <v>#DIV/0!</v>
      </c>
      <c r="AT15" s="20" t="e">
        <f t="shared" si="11"/>
        <v>#DIV/0!</v>
      </c>
      <c r="AU15" s="20" t="e">
        <f t="shared" si="11"/>
        <v>#DIV/0!</v>
      </c>
      <c r="AW15" s="20" t="e">
        <f t="shared" si="12"/>
        <v>#DIV/0!</v>
      </c>
      <c r="AX15" s="20" t="e">
        <f t="shared" si="12"/>
        <v>#DIV/0!</v>
      </c>
    </row>
    <row r="16" spans="1:50" x14ac:dyDescent="0.2">
      <c r="W16">
        <v>12</v>
      </c>
      <c r="X16">
        <f t="array" ref="X16">MAX(IF($M$2:$M$200000=$W16,$N$2:$N$200000,""))</f>
        <v>0</v>
      </c>
      <c r="Y16">
        <v>4</v>
      </c>
      <c r="AA16" s="20" t="e">
        <f t="shared" si="14"/>
        <v>#DIV/0!</v>
      </c>
      <c r="AB16" s="20" t="e">
        <f t="shared" si="0"/>
        <v>#DIV/0!</v>
      </c>
      <c r="AC16" s="20" t="e">
        <f t="shared" si="0"/>
        <v>#DIV/0!</v>
      </c>
      <c r="AD16" s="20" t="e">
        <f t="shared" si="0"/>
        <v>#DIV/0!</v>
      </c>
      <c r="AF16" s="20" t="e">
        <f t="shared" si="36"/>
        <v>#DIV/0!</v>
      </c>
      <c r="AG16" s="20" t="e">
        <f t="shared" si="37"/>
        <v>#DIV/0!</v>
      </c>
      <c r="AH16" s="20" t="e">
        <f t="shared" si="38"/>
        <v>#DIV/0!</v>
      </c>
      <c r="AI16" s="20" t="e">
        <f t="shared" si="39"/>
        <v>#DIV/0!</v>
      </c>
      <c r="AK16" s="20" t="e">
        <f t="shared" si="2"/>
        <v>#DIV/0!</v>
      </c>
      <c r="AL16" s="20" t="e">
        <f t="shared" si="2"/>
        <v>#DIV/0!</v>
      </c>
      <c r="AM16" s="20" t="e">
        <f t="shared" si="2"/>
        <v>#DIV/0!</v>
      </c>
      <c r="AN16" s="20" t="e">
        <f t="shared" si="2"/>
        <v>#DIV/0!</v>
      </c>
      <c r="AP16" s="20" t="e">
        <f t="shared" si="9"/>
        <v>#DIV/0!</v>
      </c>
      <c r="AQ16" s="20" t="e">
        <f t="shared" si="10"/>
        <v>#DIV/0!</v>
      </c>
      <c r="AT16" s="25" t="e">
        <f t="shared" si="11"/>
        <v>#DIV/0!</v>
      </c>
      <c r="AU16" s="25" t="e">
        <f t="shared" si="11"/>
        <v>#DIV/0!</v>
      </c>
      <c r="AV16" s="25"/>
      <c r="AW16" s="25" t="e">
        <f t="shared" si="12"/>
        <v>#DIV/0!</v>
      </c>
      <c r="AX16" s="25" t="e">
        <f t="shared" si="12"/>
        <v>#DIV/0!</v>
      </c>
    </row>
    <row r="17" spans="23:50" x14ac:dyDescent="0.2">
      <c r="W17">
        <v>13</v>
      </c>
      <c r="X17">
        <f t="array" ref="X17">MAX(IF($M$2:$M$200000=$W17,$N$2:$N$200000,""))</f>
        <v>0</v>
      </c>
      <c r="Y17">
        <v>4</v>
      </c>
      <c r="AA17" s="20" t="e">
        <f t="shared" si="14"/>
        <v>#DIV/0!</v>
      </c>
      <c r="AB17" s="20" t="e">
        <f t="shared" si="0"/>
        <v>#DIV/0!</v>
      </c>
      <c r="AC17" s="20" t="e">
        <f t="shared" si="0"/>
        <v>#DIV/0!</v>
      </c>
      <c r="AD17" s="20" t="e">
        <f t="shared" si="0"/>
        <v>#DIV/0!</v>
      </c>
      <c r="AF17" s="20" t="e">
        <f t="shared" ref="AF17:AF21" si="40">(COUNTIFS($Q$2:$Q$200000,"C",$M$2:$M$200000,$W17,$P$2:$P$200000,AF$1)/(SUMIFS($R$2:$R$200000,$M$2:$M$200000,$W17,$P$2:$P$200000,AF$1)-SUMIFS($T$2:$T$200000,$M$2:$M$200000,$W17,$P$2:$P$200000,AK$1)))*60</f>
        <v>#DIV/0!</v>
      </c>
      <c r="AG17" s="20" t="e">
        <f t="shared" ref="AG17:AG18" si="41">(COUNTIFS($Q$2:$Q$200000,"C",$M$2:$M$200000,$W17,$P$2:$P$200000,AG$1)/(SUMIFS($R$2:$R$200000,$M$2:$M$200000,$W17,$P$2:$P$200000,AG$1)-SUMIFS($T$2:$T$200000,$M$2:$M$200000,$W17,$P$2:$P$200000,AL$1)))*60</f>
        <v>#DIV/0!</v>
      </c>
      <c r="AH17" s="20" t="e">
        <f t="shared" ref="AH17:AH18" si="42">(COUNTIFS($Q$2:$Q$200000,"C",$M$2:$M$200000,$W17,$P$2:$P$200000,AH$1)/(SUMIFS($R$2:$R$200000,$M$2:$M$200000,$W17,$P$2:$P$200000,AH$1)-SUMIFS($T$2:$T$200000,$M$2:$M$200000,$W17,$P$2:$P$200000,AM$1)))*60</f>
        <v>#DIV/0!</v>
      </c>
      <c r="AI17" s="20" t="e">
        <f t="shared" ref="AI17:AI18" si="43">(COUNTIFS($Q$2:$Q$200000,"C",$M$2:$M$200000,$W17,$P$2:$P$200000,AI$1)/(SUMIFS($R$2:$R$200000,$M$2:$M$200000,$W17,$P$2:$P$200000,AI$1)-SUMIFS($T$2:$T$200000,$M$2:$M$200000,$W17,$P$2:$P$200000,AN$1)))*60</f>
        <v>#DIV/0!</v>
      </c>
      <c r="AK17" s="20" t="e">
        <f t="shared" si="2"/>
        <v>#DIV/0!</v>
      </c>
      <c r="AL17" s="20" t="e">
        <f t="shared" si="2"/>
        <v>#DIV/0!</v>
      </c>
      <c r="AM17" s="20" t="e">
        <f t="shared" si="2"/>
        <v>#DIV/0!</v>
      </c>
      <c r="AN17" s="20" t="e">
        <f t="shared" si="2"/>
        <v>#DIV/0!</v>
      </c>
      <c r="AP17" s="20" t="e">
        <f t="shared" si="9"/>
        <v>#DIV/0!</v>
      </c>
      <c r="AQ17" s="20" t="e">
        <f t="shared" si="10"/>
        <v>#DIV/0!</v>
      </c>
      <c r="AT17" s="20" t="e">
        <f t="shared" si="11"/>
        <v>#DIV/0!</v>
      </c>
      <c r="AU17" s="20" t="e">
        <f t="shared" si="11"/>
        <v>#DIV/0!</v>
      </c>
      <c r="AW17" s="20" t="e">
        <f t="shared" si="12"/>
        <v>#DIV/0!</v>
      </c>
      <c r="AX17" s="20" t="e">
        <f t="shared" si="12"/>
        <v>#DIV/0!</v>
      </c>
    </row>
    <row r="18" spans="23:50" x14ac:dyDescent="0.2">
      <c r="W18">
        <v>14</v>
      </c>
      <c r="X18">
        <f t="array" ref="X18">MAX(IF($M$2:$M$200000=$W18,$N$2:$N$200000,""))</f>
        <v>0</v>
      </c>
      <c r="Y18">
        <v>4</v>
      </c>
      <c r="AA18" s="20" t="e">
        <f t="shared" si="14"/>
        <v>#DIV/0!</v>
      </c>
      <c r="AB18" s="20" t="e">
        <f t="shared" si="0"/>
        <v>#DIV/0!</v>
      </c>
      <c r="AC18" s="20" t="e">
        <f t="shared" si="0"/>
        <v>#DIV/0!</v>
      </c>
      <c r="AD18" s="20" t="e">
        <f t="shared" si="0"/>
        <v>#DIV/0!</v>
      </c>
      <c r="AF18" s="20" t="e">
        <f t="shared" si="40"/>
        <v>#DIV/0!</v>
      </c>
      <c r="AG18" s="20" t="e">
        <f t="shared" si="41"/>
        <v>#DIV/0!</v>
      </c>
      <c r="AH18" s="20" t="e">
        <f t="shared" si="42"/>
        <v>#DIV/0!</v>
      </c>
      <c r="AI18" s="20" t="e">
        <f t="shared" si="43"/>
        <v>#DIV/0!</v>
      </c>
      <c r="AK18" s="20" t="e">
        <f t="shared" si="2"/>
        <v>#DIV/0!</v>
      </c>
      <c r="AL18" s="20" t="e">
        <f t="shared" si="2"/>
        <v>#DIV/0!</v>
      </c>
      <c r="AM18" s="20" t="e">
        <f t="shared" si="2"/>
        <v>#DIV/0!</v>
      </c>
      <c r="AN18" s="20" t="e">
        <f t="shared" si="2"/>
        <v>#DIV/0!</v>
      </c>
      <c r="AP18" s="20" t="e">
        <f t="shared" si="9"/>
        <v>#DIV/0!</v>
      </c>
      <c r="AQ18" s="20" t="e">
        <f t="shared" si="10"/>
        <v>#DIV/0!</v>
      </c>
      <c r="AT18" s="20" t="e">
        <f t="shared" si="11"/>
        <v>#DIV/0!</v>
      </c>
      <c r="AU18" s="20" t="e">
        <f t="shared" si="11"/>
        <v>#DIV/0!</v>
      </c>
      <c r="AW18" s="20" t="e">
        <f t="shared" si="12"/>
        <v>#DIV/0!</v>
      </c>
      <c r="AX18" s="20" t="e">
        <f t="shared" si="12"/>
        <v>#DIV/0!</v>
      </c>
    </row>
    <row r="19" spans="23:50" x14ac:dyDescent="0.2">
      <c r="W19">
        <v>15</v>
      </c>
      <c r="X19">
        <f t="array" ref="X19">MAX(IF($M$2:$M$200000=$W19,$N$2:$N$200000,""))</f>
        <v>0</v>
      </c>
      <c r="Y19">
        <v>4</v>
      </c>
      <c r="AA19" s="20" t="e">
        <f t="shared" si="14"/>
        <v>#DIV/0!</v>
      </c>
      <c r="AB19" s="20" t="e">
        <f t="shared" si="0"/>
        <v>#DIV/0!</v>
      </c>
      <c r="AC19" s="20" t="e">
        <f t="shared" si="0"/>
        <v>#DIV/0!</v>
      </c>
      <c r="AD19" s="20" t="e">
        <f t="shared" si="0"/>
        <v>#DIV/0!</v>
      </c>
      <c r="AF19" s="20" t="e">
        <f t="shared" si="40"/>
        <v>#DIV/0!</v>
      </c>
      <c r="AG19" s="20" t="e">
        <f t="shared" ref="AG19" si="44">(COUNTIFS($Q$2:$Q$200000,"C",$M$2:$M$200000,$W19,$P$2:$P$200000,AG$1)/(SUMIFS($R$2:$R$200000,$M$2:$M$200000,$W19,$P$2:$P$200000,AG$1)-SUMIFS($T$2:$T$200000,$M$2:$M$200000,$W19,$P$2:$P$200000,AL$1)))*60</f>
        <v>#DIV/0!</v>
      </c>
      <c r="AH19" s="20" t="e">
        <f t="shared" ref="AH19" si="45">(COUNTIFS($Q$2:$Q$200000,"C",$M$2:$M$200000,$W19,$P$2:$P$200000,AH$1)/(SUMIFS($R$2:$R$200000,$M$2:$M$200000,$W19,$P$2:$P$200000,AH$1)-SUMIFS($T$2:$T$200000,$M$2:$M$200000,$W19,$P$2:$P$200000,AM$1)))*60</f>
        <v>#DIV/0!</v>
      </c>
      <c r="AI19" s="20" t="e">
        <f t="shared" ref="AI19" si="46">(COUNTIFS($Q$2:$Q$200000,"C",$M$2:$M$200000,$W19,$P$2:$P$200000,AI$1)/(SUMIFS($R$2:$R$200000,$M$2:$M$200000,$W19,$P$2:$P$200000,AI$1)-SUMIFS($T$2:$T$200000,$M$2:$M$200000,$W19,$P$2:$P$200000,AN$1)))*60</f>
        <v>#DIV/0!</v>
      </c>
      <c r="AK19" s="20" t="e">
        <f t="shared" si="2"/>
        <v>#DIV/0!</v>
      </c>
      <c r="AL19" s="20" t="e">
        <f t="shared" si="2"/>
        <v>#DIV/0!</v>
      </c>
      <c r="AM19" s="20" t="e">
        <f t="shared" si="2"/>
        <v>#DIV/0!</v>
      </c>
      <c r="AN19" s="20" t="e">
        <f t="shared" si="2"/>
        <v>#DIV/0!</v>
      </c>
      <c r="AP19" s="20" t="e">
        <f t="shared" si="9"/>
        <v>#DIV/0!</v>
      </c>
      <c r="AQ19" s="20" t="e">
        <f t="shared" si="10"/>
        <v>#DIV/0!</v>
      </c>
      <c r="AT19" s="20" t="e">
        <f t="shared" si="11"/>
        <v>#DIV/0!</v>
      </c>
      <c r="AU19" s="20" t="e">
        <f t="shared" si="11"/>
        <v>#DIV/0!</v>
      </c>
      <c r="AW19" s="20" t="e">
        <f t="shared" si="12"/>
        <v>#DIV/0!</v>
      </c>
      <c r="AX19" s="20" t="e">
        <f t="shared" si="12"/>
        <v>#DIV/0!</v>
      </c>
    </row>
    <row r="20" spans="23:50" x14ac:dyDescent="0.2">
      <c r="W20">
        <v>16</v>
      </c>
      <c r="X20">
        <f t="array" ref="X20">MAX(IF($M$2:$M$200000=$W20,$N$2:$N$200000,""))</f>
        <v>0</v>
      </c>
      <c r="Y20">
        <v>4</v>
      </c>
      <c r="AA20" s="20" t="e">
        <f t="shared" si="14"/>
        <v>#DIV/0!</v>
      </c>
      <c r="AB20" s="20" t="e">
        <f t="shared" si="0"/>
        <v>#DIV/0!</v>
      </c>
      <c r="AC20" s="20" t="e">
        <f t="shared" si="0"/>
        <v>#DIV/0!</v>
      </c>
      <c r="AD20" s="20" t="e">
        <f t="shared" si="0"/>
        <v>#DIV/0!</v>
      </c>
      <c r="AF20" s="20" t="e">
        <f t="shared" si="40"/>
        <v>#DIV/0!</v>
      </c>
      <c r="AG20" s="20" t="e">
        <f t="shared" ref="AG20" si="47">(COUNTIFS($Q$2:$Q$200000,"C",$M$2:$M$200000,$W20,$P$2:$P$200000,AG$1)/(SUMIFS($R$2:$R$200000,$M$2:$M$200000,$W20,$P$2:$P$200000,AG$1)-SUMIFS($T$2:$T$200000,$M$2:$M$200000,$W20,$P$2:$P$200000,AL$1)))*60</f>
        <v>#DIV/0!</v>
      </c>
      <c r="AH20" s="20" t="e">
        <f t="shared" ref="AH20" si="48">(COUNTIFS($Q$2:$Q$200000,"C",$M$2:$M$200000,$W20,$P$2:$P$200000,AH$1)/(SUMIFS($R$2:$R$200000,$M$2:$M$200000,$W20,$P$2:$P$200000,AH$1)-SUMIFS($T$2:$T$200000,$M$2:$M$200000,$W20,$P$2:$P$200000,AM$1)))*60</f>
        <v>#DIV/0!</v>
      </c>
      <c r="AI20" s="20" t="e">
        <f t="shared" ref="AI20" si="49">(COUNTIFS($Q$2:$Q$200000,"C",$M$2:$M$200000,$W20,$P$2:$P$200000,AI$1)/(SUMIFS($R$2:$R$200000,$M$2:$M$200000,$W20,$P$2:$P$200000,AI$1)-SUMIFS($T$2:$T$200000,$M$2:$M$200000,$W20,$P$2:$P$200000,AN$1)))*60</f>
        <v>#DIV/0!</v>
      </c>
      <c r="AK20" s="20" t="e">
        <f t="shared" si="2"/>
        <v>#DIV/0!</v>
      </c>
      <c r="AL20" s="20" t="e">
        <f t="shared" si="2"/>
        <v>#DIV/0!</v>
      </c>
      <c r="AM20" s="20" t="e">
        <f t="shared" si="2"/>
        <v>#DIV/0!</v>
      </c>
      <c r="AN20" s="20" t="e">
        <f t="shared" si="2"/>
        <v>#DIV/0!</v>
      </c>
      <c r="AP20" s="20" t="e">
        <f t="shared" si="9"/>
        <v>#DIV/0!</v>
      </c>
      <c r="AQ20" s="20" t="e">
        <f t="shared" si="10"/>
        <v>#DIV/0!</v>
      </c>
      <c r="AT20" s="20" t="e">
        <f t="shared" si="11"/>
        <v>#DIV/0!</v>
      </c>
      <c r="AU20" s="20" t="e">
        <f t="shared" si="11"/>
        <v>#DIV/0!</v>
      </c>
      <c r="AW20" s="20" t="e">
        <f t="shared" si="12"/>
        <v>#DIV/0!</v>
      </c>
      <c r="AX20" s="20" t="e">
        <f t="shared" si="12"/>
        <v>#DIV/0!</v>
      </c>
    </row>
    <row r="21" spans="23:50" x14ac:dyDescent="0.2">
      <c r="W21">
        <v>17</v>
      </c>
      <c r="X21">
        <f t="array" ref="X21">MAX(IF($M$2:$M$200000=$W21,$N$2:$N$200000,""))</f>
        <v>0</v>
      </c>
      <c r="Y21">
        <v>4</v>
      </c>
      <c r="AA21" s="20" t="e">
        <f t="shared" si="14"/>
        <v>#DIV/0!</v>
      </c>
      <c r="AB21" s="20" t="e">
        <f t="shared" si="0"/>
        <v>#DIV/0!</v>
      </c>
      <c r="AC21" s="20" t="e">
        <f t="shared" si="0"/>
        <v>#DIV/0!</v>
      </c>
      <c r="AD21" s="20" t="e">
        <f t="shared" si="0"/>
        <v>#DIV/0!</v>
      </c>
      <c r="AF21" s="20" t="e">
        <f t="shared" si="40"/>
        <v>#DIV/0!</v>
      </c>
      <c r="AG21" s="20" t="e">
        <f t="shared" ref="AG21" si="50">(COUNTIFS($Q$2:$Q$200000,"C",$M$2:$M$200000,$W21,$P$2:$P$200000,AG$1)/(SUMIFS($R$2:$R$200000,$M$2:$M$200000,$W21,$P$2:$P$200000,AG$1)-SUMIFS($T$2:$T$200000,$M$2:$M$200000,$W21,$P$2:$P$200000,AL$1)))*60</f>
        <v>#DIV/0!</v>
      </c>
      <c r="AH21" s="20" t="e">
        <f>(COUNTIFS($Q$2:$Q$200000,"C",$M$2:$M$200000,$W21,$P$2:$P$200000,AH$1)/(SUMIFS($R$2:$R$200000,$M$2:$M$200000,$W21,$P$2:$P$200000,AH$1)-SUMIFS($T$2:$T$200000,$M$2:$M$200000,$W21,$P$2:$P$200000,AM$1)))*60</f>
        <v>#DIV/0!</v>
      </c>
      <c r="AI21" s="20" t="e">
        <f t="shared" ref="AI21" si="51">(COUNTIFS($Q$2:$Q$200000,"C",$M$2:$M$200000,$W21,$P$2:$P$200000,AI$1)/(SUMIFS($R$2:$R$200000,$M$2:$M$200000,$W21,$P$2:$P$200000,AI$1)-SUMIFS($T$2:$T$200000,$M$2:$M$200000,$W21,$P$2:$P$200000,AN$1)))*60</f>
        <v>#DIV/0!</v>
      </c>
      <c r="AK21" s="20" t="e">
        <f t="shared" si="2"/>
        <v>#DIV/0!</v>
      </c>
      <c r="AL21" s="20" t="e">
        <f t="shared" si="2"/>
        <v>#DIV/0!</v>
      </c>
      <c r="AM21" s="20" t="e">
        <f t="shared" si="2"/>
        <v>#DIV/0!</v>
      </c>
      <c r="AN21" s="20" t="e">
        <f t="shared" si="2"/>
        <v>#DIV/0!</v>
      </c>
      <c r="AP21" s="20" t="e">
        <f t="shared" si="9"/>
        <v>#DIV/0!</v>
      </c>
      <c r="AQ21" s="20" t="e">
        <f t="shared" si="10"/>
        <v>#DIV/0!</v>
      </c>
      <c r="AT21" s="20" t="e">
        <f t="shared" si="11"/>
        <v>#DIV/0!</v>
      </c>
      <c r="AU21" s="20" t="e">
        <f t="shared" si="11"/>
        <v>#DIV/0!</v>
      </c>
      <c r="AW21" s="20" t="e">
        <f t="shared" si="12"/>
        <v>#DIV/0!</v>
      </c>
      <c r="AX21" s="20" t="e">
        <f t="shared" si="12"/>
        <v>#DIV/0!</v>
      </c>
    </row>
    <row r="22" spans="23:50" x14ac:dyDescent="0.2">
      <c r="W22">
        <v>18</v>
      </c>
      <c r="X22">
        <f t="array" ref="X22">MAX(IF($M$2:$M$200000=$W22,$N$2:$N$200000,""))</f>
        <v>0</v>
      </c>
      <c r="Y22">
        <v>4</v>
      </c>
      <c r="AA22" s="20" t="e">
        <f t="shared" si="14"/>
        <v>#DIV/0!</v>
      </c>
      <c r="AB22" s="20" t="e">
        <f t="shared" si="0"/>
        <v>#DIV/0!</v>
      </c>
      <c r="AC22" s="20" t="e">
        <f t="shared" si="0"/>
        <v>#DIV/0!</v>
      </c>
      <c r="AD22" s="20" t="e">
        <f t="shared" si="0"/>
        <v>#DIV/0!</v>
      </c>
      <c r="AF22" s="20" t="e">
        <f t="shared" ref="AF22:AF23" si="52">(COUNTIFS($Q$2:$Q$200000,"C",$M$2:$M$200000,$W22,$P$2:$P$200000,AF$1)/(SUMIFS($R$2:$R$200000,$M$2:$M$200000,$W22,$P$2:$P$200000,AF$1)-SUMIFS($T$2:$T$200000,$M$2:$M$200000,$W22,$P$2:$P$200000,AK$1)))*60</f>
        <v>#DIV/0!</v>
      </c>
      <c r="AG22" s="20" t="e">
        <f t="shared" ref="AG22:AG23" si="53">(COUNTIFS($Q$2:$Q$200000,"C",$M$2:$M$200000,$W22,$P$2:$P$200000,AG$1)/(SUMIFS($R$2:$R$200000,$M$2:$M$200000,$W22,$P$2:$P$200000,AG$1)-SUMIFS($T$2:$T$200000,$M$2:$M$200000,$W22,$P$2:$P$200000,AL$1)))*60</f>
        <v>#DIV/0!</v>
      </c>
      <c r="AH22" s="20" t="e">
        <f t="shared" ref="AH22:AH23" si="54">(COUNTIFS($Q$2:$Q$200000,"C",$M$2:$M$200000,$W22,$P$2:$P$200000,AH$1)/(SUMIFS($R$2:$R$200000,$M$2:$M$200000,$W22,$P$2:$P$200000,AH$1)-SUMIFS($T$2:$T$200000,$M$2:$M$200000,$W22,$P$2:$P$200000,AM$1)))*60</f>
        <v>#DIV/0!</v>
      </c>
      <c r="AI22" s="20" t="e">
        <f t="shared" ref="AI22:AI23" si="55">(COUNTIFS($Q$2:$Q$200000,"C",$M$2:$M$200000,$W22,$P$2:$P$200000,AI$1)/(SUMIFS($R$2:$R$200000,$M$2:$M$200000,$W22,$P$2:$P$200000,AI$1)-SUMIFS($T$2:$T$200000,$M$2:$M$200000,$W22,$P$2:$P$200000,AN$1)))*60</f>
        <v>#DIV/0!</v>
      </c>
      <c r="AK22" s="20" t="e">
        <f t="shared" si="2"/>
        <v>#DIV/0!</v>
      </c>
      <c r="AL22" s="20" t="e">
        <f t="shared" si="2"/>
        <v>#DIV/0!</v>
      </c>
      <c r="AM22" s="20" t="e">
        <f t="shared" si="2"/>
        <v>#DIV/0!</v>
      </c>
      <c r="AN22" s="20" t="e">
        <f t="shared" si="2"/>
        <v>#DIV/0!</v>
      </c>
      <c r="AP22" s="20" t="e">
        <f t="shared" si="9"/>
        <v>#DIV/0!</v>
      </c>
      <c r="AQ22" s="20" t="e">
        <f t="shared" si="10"/>
        <v>#DIV/0!</v>
      </c>
      <c r="AT22" s="20" t="e">
        <f t="shared" si="11"/>
        <v>#DIV/0!</v>
      </c>
      <c r="AU22" s="20" t="e">
        <f t="shared" si="11"/>
        <v>#DIV/0!</v>
      </c>
      <c r="AW22" s="20" t="e">
        <f t="shared" si="12"/>
        <v>#DIV/0!</v>
      </c>
      <c r="AX22" s="20" t="e">
        <f t="shared" si="12"/>
        <v>#DIV/0!</v>
      </c>
    </row>
    <row r="23" spans="23:50" x14ac:dyDescent="0.2">
      <c r="W23">
        <v>19</v>
      </c>
      <c r="X23">
        <f t="array" ref="X23">MAX(IF($M$2:$M$200000=$W23,$N$2:$N$200000,""))</f>
        <v>0</v>
      </c>
      <c r="Y23">
        <v>4</v>
      </c>
      <c r="AA23" s="20" t="e">
        <f t="shared" si="14"/>
        <v>#DIV/0!</v>
      </c>
      <c r="AB23" s="20" t="e">
        <f t="shared" si="0"/>
        <v>#DIV/0!</v>
      </c>
      <c r="AC23" s="20" t="e">
        <f t="shared" si="0"/>
        <v>#DIV/0!</v>
      </c>
      <c r="AD23" s="20" t="e">
        <f t="shared" si="0"/>
        <v>#DIV/0!</v>
      </c>
      <c r="AF23" s="20" t="e">
        <f t="shared" si="52"/>
        <v>#DIV/0!</v>
      </c>
      <c r="AG23" s="20" t="e">
        <f t="shared" si="53"/>
        <v>#DIV/0!</v>
      </c>
      <c r="AH23" s="20" t="e">
        <f t="shared" si="54"/>
        <v>#DIV/0!</v>
      </c>
      <c r="AI23" s="20" t="e">
        <f t="shared" si="55"/>
        <v>#DIV/0!</v>
      </c>
      <c r="AK23" s="20" t="e">
        <f t="shared" si="2"/>
        <v>#DIV/0!</v>
      </c>
      <c r="AL23" s="20" t="e">
        <f t="shared" si="2"/>
        <v>#DIV/0!</v>
      </c>
      <c r="AM23" s="20" t="e">
        <f t="shared" si="2"/>
        <v>#DIV/0!</v>
      </c>
      <c r="AN23" s="20" t="e">
        <f t="shared" si="2"/>
        <v>#DIV/0!</v>
      </c>
      <c r="AP23" s="20" t="e">
        <f t="shared" si="9"/>
        <v>#DIV/0!</v>
      </c>
      <c r="AQ23" s="20" t="e">
        <f t="shared" si="10"/>
        <v>#DIV/0!</v>
      </c>
      <c r="AT23" s="20" t="e">
        <f t="shared" si="11"/>
        <v>#DIV/0!</v>
      </c>
      <c r="AU23" s="20" t="e">
        <f t="shared" si="11"/>
        <v>#DIV/0!</v>
      </c>
      <c r="AW23" s="20" t="e">
        <f t="shared" si="12"/>
        <v>#DIV/0!</v>
      </c>
      <c r="AX23" s="20" t="e">
        <f t="shared" si="12"/>
        <v>#DIV/0!</v>
      </c>
    </row>
    <row r="24" spans="23:50" x14ac:dyDescent="0.2">
      <c r="W24">
        <v>20</v>
      </c>
      <c r="X24">
        <f t="array" ref="X24">MAX(IF($M$2:$M$200000=$W24,$N$2:$N$200000,""))</f>
        <v>0</v>
      </c>
      <c r="Y24">
        <v>4</v>
      </c>
      <c r="AA24" s="20" t="e">
        <f t="shared" si="14"/>
        <v>#DIV/0!</v>
      </c>
      <c r="AB24" s="20" t="e">
        <f t="shared" si="0"/>
        <v>#DIV/0!</v>
      </c>
      <c r="AC24" s="20" t="e">
        <f>(COUNTIFS($Q$2:$Q$200000,"C",$M$2:$M$200000,$W24,$P$2:$P$200000,AC$1)/SUMIFS($R$2:$R$200000,$M$2:$M$200000,$W24,$P$2:$P$200000,AC$1))*60</f>
        <v>#DIV/0!</v>
      </c>
      <c r="AD24" s="20" t="e">
        <f>(COUNTIFS($Q$2:$Q$200000,"C",$M$2:$M$200000,$W24,$P$2:$P$200000,AD$1)/SUMIFS($R$2:$R$200000,$M$2:$M$200000,$W24,$P$2:$P$200000,AD$1))*60</f>
        <v>#DIV/0!</v>
      </c>
      <c r="AF24" s="20" t="e">
        <f>(COUNTIFS($Q$2:$Q$200000,"C",$M$2:$M$200000,$W24,$P$2:$P$200000,AF$1)/(SUMIFS($R$2:$R$200000,$M$2:$M$200000,$W24,$P$2:$P$200000,AF$1)-SUMIFS($T$2:$T$200000,$M$2:$M$200000,$W24,$P$2:$P$200000,AK$1)))*60</f>
        <v>#DIV/0!</v>
      </c>
      <c r="AG24" s="20" t="e">
        <f>(COUNTIFS($Q$2:$Q$200000,"C",$M$2:$M$200000,$W24,$P$2:$P$200000,AG$1)/(SUMIFS($R$2:$R$200000,$M$2:$M$200000,$W24,$P$2:$P$200000,AG$1)-SUMIFS($T$2:$T$200000,$M$2:$M$200000,$W24,$P$2:$P$200000,AL$1)))*60</f>
        <v>#DIV/0!</v>
      </c>
      <c r="AH24" s="20" t="e">
        <f>(COUNTIFS($Q$2:$Q$200000,"C",$M$2:$M$200000,$W24,$P$2:$P$200000,AH$1)/(SUMIFS($R$2:$R$200000,$M$2:$M$200000,$W24,$P$2:$P$200000,AH$1)-SUMIFS($T$2:$T$200000,$M$2:$M$200000,$W24,$P$2:$P$200000,AM$1)))*60</f>
        <v>#DIV/0!</v>
      </c>
      <c r="AI24" s="20" t="e">
        <f>(COUNTIFS($Q$2:$Q$200000,"C",$M$2:$M$200000,$W24,$P$2:$P$200000,AI$1)/(SUMIFS($R$2:$R$200000,$M$2:$M$200000,$W24,$P$2:$P$200000,AI$1)-SUMIFS($T$2:$T$200000,$M$2:$M$200000,$W24,$P$2:$P$200000,AN$1)))*60</f>
        <v>#DIV/0!</v>
      </c>
      <c r="AK24" s="20" t="e">
        <f>AVERAGEIFS($T$2:$T$200000,$M$2:$M$200000,$W24,$P$2:$P$200000,AK$1)</f>
        <v>#DIV/0!</v>
      </c>
      <c r="AL24" s="20" t="e">
        <f>AVERAGEIFS($T$2:$T$200000,$M$2:$M$200000,$W24,$P$2:$P$200000,AL$1)</f>
        <v>#DIV/0!</v>
      </c>
      <c r="AM24" s="20" t="e">
        <f>AVERAGEIFS($T$2:$T$200000,$M$2:$M$200000,$W24,$P$2:$P$200000,AM$1)</f>
        <v>#DIV/0!</v>
      </c>
      <c r="AN24" s="20" t="e">
        <f>AVERAGEIFS($T$2:$T$200000,$M$2:$M$200000,$W24,$P$2:$P$200000,AN$1)</f>
        <v>#DIV/0!</v>
      </c>
      <c r="AP24" s="20" t="e">
        <f>COUNTIFS($M$2:$M$200000,$W24,$O$2:$O$200000,"Lf",$Q$2:$Q$200000,"C")/(COUNTIFS($M$2:$M$200000,$W24,$O$2:$O$200000,"Lf",$Q$2:$Q$200000,"C")+COUNTIFS($M$2:$M$200000,$W24,$O$2:$O$200000,"Lf",$Q$2:$Q$200000,"I"))</f>
        <v>#DIV/0!</v>
      </c>
      <c r="AQ24" s="20" t="e">
        <f>COUNTIFS($M$2:$M$200000,$W24,$O$2:$O$200000,"Rt",$Q$2:$Q$200000,"C")/(COUNTIFS($M$2:$M$200000,$W24,$O$2:$O$200000,"Rt",$Q$2:$Q$200000,"C")+COUNTIFS($M$2:$M$200000,$W24,$O$2:$O$200000,"Rt",$Q$2:$Q$200000,"I"))</f>
        <v>#DIV/0!</v>
      </c>
      <c r="AT24" s="20" t="e">
        <f>(COUNTIFS($Q$2:$Q$200000,"C",$M$2:$M$200000,$W24,$O$2:$O$200000,AT$1)/SUMIFS($R$2:$R$200000,$M$2:$M$200000,$W24,$O$2:$O$200000,AT$1))*60</f>
        <v>#DIV/0!</v>
      </c>
      <c r="AU24" s="20" t="e">
        <f>(COUNTIFS($Q$2:$Q$200000,"C",$M$2:$M$200000,$W24,$O$2:$O$200000,AU$1)/SUMIFS($R$2:$R$200000,$M$2:$M$200000,$W24,$O$2:$O$200000,AU$1))*60</f>
        <v>#DIV/0!</v>
      </c>
      <c r="AW24" s="20" t="e">
        <f>(COUNTIFS($Q$2:$Q$200000,"C",$M$2:$M$200000,$W24,$O$2:$O$200000,AW$1)/(SUMIFS($R$2:$R$200000,$M$2:$M$200000,$W24,$O$2:$O$200000,AW$1)-SUMIFS($T$2:$T$200000,$M$2:$M$200000,$W24,$O$2:$O$200000,AW$1)))*60</f>
        <v>#DIV/0!</v>
      </c>
      <c r="AX24" s="20" t="e">
        <f>(COUNTIFS($Q$2:$Q$200000,"C",$M$2:$M$200000,$W24,$O$2:$O$200000,AX$1)/(SUMIFS($R$2:$R$200000,$M$2:$M$200000,$W24,$O$2:$O$200000,AX$1)-SUMIFS($T$2:$T$200000,$M$2:$M$200000,$W24,$O$2:$O$200000,AX$1)))*60</f>
        <v>#DIV/0!</v>
      </c>
    </row>
    <row r="25" spans="23:50" x14ac:dyDescent="0.2">
      <c r="W25">
        <v>21</v>
      </c>
      <c r="X25">
        <f t="array" ref="X25">MAX(IF($M$2:$M$200000=$W25,$N$2:$N$200000,""))</f>
        <v>0</v>
      </c>
      <c r="Y25">
        <v>4</v>
      </c>
      <c r="AA25" s="20" t="e">
        <f t="shared" si="14"/>
        <v>#DIV/0!</v>
      </c>
      <c r="AB25" s="20" t="e">
        <f t="shared" si="14"/>
        <v>#DIV/0!</v>
      </c>
      <c r="AC25" s="20" t="e">
        <f t="shared" si="14"/>
        <v>#DIV/0!</v>
      </c>
      <c r="AD25" s="20" t="e">
        <f t="shared" si="14"/>
        <v>#DIV/0!</v>
      </c>
      <c r="AF25" s="20" t="e">
        <f t="shared" ref="AF24:AF26" si="56">(COUNTIFS($Q$2:$Q$200000,"C",$M$2:$M$200000,$W25,$P$2:$P$200000,AF$1)/(SUMIFS($R$2:$R$200000,$M$2:$M$200000,$W25,$P$2:$P$200000,AF$1)-SUMIFS($T$2:$T$200000,$M$2:$M$200000,$W25,$P$2:$P$200000,AK$1)))*60</f>
        <v>#DIV/0!</v>
      </c>
      <c r="AG25" s="20" t="e">
        <f t="shared" ref="AG24:AG26" si="57">(COUNTIFS($Q$2:$Q$200000,"C",$M$2:$M$200000,$W25,$P$2:$P$200000,AG$1)/(SUMIFS($R$2:$R$200000,$M$2:$M$200000,$W25,$P$2:$P$200000,AG$1)-SUMIFS($T$2:$T$200000,$M$2:$M$200000,$W25,$P$2:$P$200000,AL$1)))*60</f>
        <v>#DIV/0!</v>
      </c>
      <c r="AH25" s="20" t="e">
        <f t="shared" ref="AH24:AH26" si="58">(COUNTIFS($Q$2:$Q$200000,"C",$M$2:$M$200000,$W25,$P$2:$P$200000,AH$1)/(SUMIFS($R$2:$R$200000,$M$2:$M$200000,$W25,$P$2:$P$200000,AH$1)-SUMIFS($T$2:$T$200000,$M$2:$M$200000,$W25,$P$2:$P$200000,AM$1)))*60</f>
        <v>#DIV/0!</v>
      </c>
      <c r="AI25" s="20" t="e">
        <f t="shared" ref="AI24:AI26" si="59">(COUNTIFS($Q$2:$Q$200000,"C",$M$2:$M$200000,$W25,$P$2:$P$200000,AI$1)/(SUMIFS($R$2:$R$200000,$M$2:$M$200000,$W25,$P$2:$P$200000,AI$1)-SUMIFS($T$2:$T$200000,$M$2:$M$200000,$W25,$P$2:$P$200000,AN$1)))*60</f>
        <v>#DIV/0!</v>
      </c>
      <c r="AK25" s="20" t="e">
        <f t="shared" ref="AK25:AN28" si="60">AVERAGEIFS($T$2:$T$200000,$M$2:$M$200000,$W25,$P$2:$P$200000,AK$1)</f>
        <v>#DIV/0!</v>
      </c>
      <c r="AL25" s="20" t="e">
        <f t="shared" si="60"/>
        <v>#DIV/0!</v>
      </c>
      <c r="AM25" s="20" t="e">
        <f t="shared" si="60"/>
        <v>#DIV/0!</v>
      </c>
      <c r="AN25" s="20" t="e">
        <f t="shared" si="60"/>
        <v>#DIV/0!</v>
      </c>
      <c r="AP25" s="20" t="e">
        <f t="shared" si="9"/>
        <v>#DIV/0!</v>
      </c>
      <c r="AQ25" s="20" t="e">
        <f t="shared" si="10"/>
        <v>#DIV/0!</v>
      </c>
      <c r="AT25" s="20" t="e">
        <f t="shared" ref="AT25:AU28" si="61">(COUNTIFS($Q$2:$Q$200000,"C",$M$2:$M$200000,$W25,$O$2:$O$200000,AT$1)/SUMIFS($R$2:$R$200000,$M$2:$M$200000,$W25,$O$2:$O$200000,AT$1))*60</f>
        <v>#DIV/0!</v>
      </c>
      <c r="AU25" s="20" t="e">
        <f t="shared" si="61"/>
        <v>#DIV/0!</v>
      </c>
      <c r="AW25" s="20" t="e">
        <f t="shared" ref="AW25:AX28" si="62">(COUNTIFS($Q$2:$Q$200000,"C",$M$2:$M$200000,$W25,$O$2:$O$200000,AW$1)/(SUMIFS($R$2:$R$200000,$M$2:$M$200000,$W25,$O$2:$O$200000,AW$1)-SUMIFS($T$2:$T$200000,$M$2:$M$200000,$W25,$O$2:$O$200000,AW$1)))*60</f>
        <v>#DIV/0!</v>
      </c>
      <c r="AX25" s="20" t="e">
        <f t="shared" si="62"/>
        <v>#DIV/0!</v>
      </c>
    </row>
    <row r="26" spans="23:50" x14ac:dyDescent="0.2">
      <c r="W26">
        <v>22</v>
      </c>
      <c r="X26">
        <f t="array" ref="X26">MAX(IF($M$2:$M$200000=$W26,$N$2:$N$200000,""))</f>
        <v>0</v>
      </c>
      <c r="Y26">
        <v>4</v>
      </c>
      <c r="AA26" s="20" t="e">
        <f t="shared" ref="AA26:AD28" si="63">(COUNTIFS($Q$2:$Q$200000,"C",$M$2:$M$200000,$W26,$P$2:$P$200000,AA$1)/SUMIFS($R$2:$R$200000,$M$2:$M$200000,$W26,$P$2:$P$200000,AA$1))*60</f>
        <v>#DIV/0!</v>
      </c>
      <c r="AB26" s="20" t="e">
        <f t="shared" si="63"/>
        <v>#DIV/0!</v>
      </c>
      <c r="AC26" s="20" t="e">
        <f t="shared" si="63"/>
        <v>#DIV/0!</v>
      </c>
      <c r="AD26" s="20" t="e">
        <f t="shared" si="63"/>
        <v>#DIV/0!</v>
      </c>
      <c r="AF26" s="20" t="e">
        <f t="shared" si="56"/>
        <v>#DIV/0!</v>
      </c>
      <c r="AG26" s="20" t="e">
        <f t="shared" si="57"/>
        <v>#DIV/0!</v>
      </c>
      <c r="AH26" s="20" t="e">
        <f t="shared" si="58"/>
        <v>#DIV/0!</v>
      </c>
      <c r="AI26" s="20" t="e">
        <f t="shared" si="59"/>
        <v>#DIV/0!</v>
      </c>
      <c r="AK26" s="20" t="e">
        <f t="shared" si="60"/>
        <v>#DIV/0!</v>
      </c>
      <c r="AL26" s="20" t="e">
        <f t="shared" si="60"/>
        <v>#DIV/0!</v>
      </c>
      <c r="AM26" s="20" t="e">
        <f t="shared" si="60"/>
        <v>#DIV/0!</v>
      </c>
      <c r="AN26" s="20" t="e">
        <f t="shared" si="60"/>
        <v>#DIV/0!</v>
      </c>
      <c r="AP26" s="20" t="e">
        <f t="shared" si="9"/>
        <v>#DIV/0!</v>
      </c>
      <c r="AQ26" s="20" t="e">
        <f t="shared" si="10"/>
        <v>#DIV/0!</v>
      </c>
      <c r="AT26" s="20" t="e">
        <f t="shared" si="61"/>
        <v>#DIV/0!</v>
      </c>
      <c r="AU26" s="20" t="e">
        <f t="shared" si="61"/>
        <v>#DIV/0!</v>
      </c>
      <c r="AW26" s="20" t="e">
        <f t="shared" si="62"/>
        <v>#DIV/0!</v>
      </c>
      <c r="AX26" s="20" t="e">
        <f t="shared" si="62"/>
        <v>#DIV/0!</v>
      </c>
    </row>
    <row r="27" spans="23:50" x14ac:dyDescent="0.2">
      <c r="W27">
        <v>23</v>
      </c>
      <c r="X27">
        <f t="array" ref="X27">MAX(IF($M$2:$M$200000=$W27,$N$2:$N$200000,""))</f>
        <v>0</v>
      </c>
      <c r="Y27">
        <v>4</v>
      </c>
      <c r="AA27" s="20" t="e">
        <f t="shared" si="63"/>
        <v>#DIV/0!</v>
      </c>
      <c r="AB27" s="20" t="e">
        <f t="shared" si="63"/>
        <v>#DIV/0!</v>
      </c>
      <c r="AC27" s="20" t="e">
        <f t="shared" si="63"/>
        <v>#DIV/0!</v>
      </c>
      <c r="AD27" s="20" t="e">
        <f t="shared" si="63"/>
        <v>#DIV/0!</v>
      </c>
      <c r="AF27" s="20" t="e">
        <f t="shared" ref="AF27" si="64">(COUNTIFS($Q$2:$Q$200000,"C",$M$2:$M$200000,$W27,$P$2:$P$200000,AF$1)/(SUMIFS($R$2:$R$200000,$M$2:$M$200000,$W27,$P$2:$P$200000,AF$1)-SUMIFS($T$2:$T$200000,$M$2:$M$200000,$W27,$P$2:$P$200000,AK$1)))*60</f>
        <v>#DIV/0!</v>
      </c>
      <c r="AG27" s="20" t="e">
        <f t="shared" ref="AG27" si="65">(COUNTIFS($Q$2:$Q$200000,"C",$M$2:$M$200000,$W27,$P$2:$P$200000,AG$1)/(SUMIFS($R$2:$R$200000,$M$2:$M$200000,$W27,$P$2:$P$200000,AG$1)-SUMIFS($T$2:$T$200000,$M$2:$M$200000,$W27,$P$2:$P$200000,AL$1)))*60</f>
        <v>#DIV/0!</v>
      </c>
      <c r="AH27" s="20" t="e">
        <f t="shared" ref="AH27" si="66">(COUNTIFS($Q$2:$Q$200000,"C",$M$2:$M$200000,$W27,$P$2:$P$200000,AH$1)/(SUMIFS($R$2:$R$200000,$M$2:$M$200000,$W27,$P$2:$P$200000,AH$1)-SUMIFS($T$2:$T$200000,$M$2:$M$200000,$W27,$P$2:$P$200000,AM$1)))*60</f>
        <v>#DIV/0!</v>
      </c>
      <c r="AI27" s="20" t="e">
        <f t="shared" ref="AI27" si="67">(COUNTIFS($Q$2:$Q$200000,"C",$M$2:$M$200000,$W27,$P$2:$P$200000,AI$1)/(SUMIFS($R$2:$R$200000,$M$2:$M$200000,$W27,$P$2:$P$200000,AI$1)-SUMIFS($T$2:$T$200000,$M$2:$M$200000,$W27,$P$2:$P$200000,AN$1)))*60</f>
        <v>#DIV/0!</v>
      </c>
      <c r="AK27" s="20" t="e">
        <f t="shared" si="60"/>
        <v>#DIV/0!</v>
      </c>
      <c r="AL27" s="20" t="e">
        <f t="shared" si="60"/>
        <v>#DIV/0!</v>
      </c>
      <c r="AM27" s="20" t="e">
        <f t="shared" si="60"/>
        <v>#DIV/0!</v>
      </c>
      <c r="AN27" s="20" t="e">
        <f t="shared" si="60"/>
        <v>#DIV/0!</v>
      </c>
      <c r="AP27" s="20" t="e">
        <f t="shared" si="9"/>
        <v>#DIV/0!</v>
      </c>
      <c r="AQ27" s="20" t="e">
        <f t="shared" si="10"/>
        <v>#DIV/0!</v>
      </c>
      <c r="AT27" s="20" t="e">
        <f t="shared" si="61"/>
        <v>#DIV/0!</v>
      </c>
      <c r="AU27" s="20" t="e">
        <f t="shared" si="61"/>
        <v>#DIV/0!</v>
      </c>
      <c r="AW27" s="20" t="e">
        <f t="shared" si="62"/>
        <v>#DIV/0!</v>
      </c>
      <c r="AX27" s="20" t="e">
        <f t="shared" si="62"/>
        <v>#DIV/0!</v>
      </c>
    </row>
    <row r="28" spans="23:50" x14ac:dyDescent="0.2">
      <c r="W28">
        <v>24</v>
      </c>
      <c r="X28">
        <f t="array" ref="X28">MAX(IF($M$2:$M$200000=$W28,$N$2:$N$200000,""))</f>
        <v>0</v>
      </c>
      <c r="Y28">
        <v>4</v>
      </c>
      <c r="AA28" s="20" t="e">
        <f t="shared" si="63"/>
        <v>#DIV/0!</v>
      </c>
      <c r="AB28" s="20" t="e">
        <f t="shared" si="63"/>
        <v>#DIV/0!</v>
      </c>
      <c r="AC28" s="20" t="e">
        <f t="shared" si="63"/>
        <v>#DIV/0!</v>
      </c>
      <c r="AD28" s="20" t="e">
        <f t="shared" si="63"/>
        <v>#DIV/0!</v>
      </c>
      <c r="AF28" s="20" t="e">
        <f t="shared" ref="AF28" si="68">(COUNTIFS($Q$2:$Q$200000,"C",$M$2:$M$200000,$W28,$P$2:$P$200000,AF$1)/(SUMIFS($R$2:$R$200000,$M$2:$M$200000,$W28,$P$2:$P$200000,AF$1)-SUMIFS($T$2:$T$200000,$M$2:$M$200000,$W28,$P$2:$P$200000,AK$1)))*60</f>
        <v>#DIV/0!</v>
      </c>
      <c r="AG28" s="20" t="e">
        <f t="shared" ref="AG28" si="69">(COUNTIFS($Q$2:$Q$200000,"C",$M$2:$M$200000,$W28,$P$2:$P$200000,AG$1)/(SUMIFS($R$2:$R$200000,$M$2:$M$200000,$W28,$P$2:$P$200000,AG$1)-SUMIFS($T$2:$T$200000,$M$2:$M$200000,$W28,$P$2:$P$200000,AL$1)))*60</f>
        <v>#DIV/0!</v>
      </c>
      <c r="AH28" s="20" t="e">
        <f t="shared" ref="AH28" si="70">(COUNTIFS($Q$2:$Q$200000,"C",$M$2:$M$200000,$W28,$P$2:$P$200000,AH$1)/(SUMIFS($R$2:$R$200000,$M$2:$M$200000,$W28,$P$2:$P$200000,AH$1)-SUMIFS($T$2:$T$200000,$M$2:$M$200000,$W28,$P$2:$P$200000,AM$1)))*60</f>
        <v>#DIV/0!</v>
      </c>
      <c r="AI28" s="20" t="e">
        <f t="shared" ref="AI28" si="71">(COUNTIFS($Q$2:$Q$200000,"C",$M$2:$M$200000,$W28,$P$2:$P$200000,AI$1)/(SUMIFS($R$2:$R$200000,$M$2:$M$200000,$W28,$P$2:$P$200000,AI$1)-SUMIFS($T$2:$T$200000,$M$2:$M$200000,$W28,$P$2:$P$200000,AN$1)))*60</f>
        <v>#DIV/0!</v>
      </c>
      <c r="AK28" s="20" t="e">
        <f t="shared" si="60"/>
        <v>#DIV/0!</v>
      </c>
      <c r="AL28" s="20" t="e">
        <f t="shared" si="60"/>
        <v>#DIV/0!</v>
      </c>
      <c r="AM28" s="20" t="e">
        <f t="shared" si="60"/>
        <v>#DIV/0!</v>
      </c>
      <c r="AN28" s="20" t="e">
        <f t="shared" si="60"/>
        <v>#DIV/0!</v>
      </c>
      <c r="AP28" s="20" t="e">
        <f t="shared" si="9"/>
        <v>#DIV/0!</v>
      </c>
      <c r="AQ28" s="20" t="e">
        <f t="shared" si="10"/>
        <v>#DIV/0!</v>
      </c>
      <c r="AT28" s="20" t="e">
        <f t="shared" si="61"/>
        <v>#DIV/0!</v>
      </c>
      <c r="AU28" s="20" t="e">
        <f t="shared" si="61"/>
        <v>#DIV/0!</v>
      </c>
      <c r="AW28" s="20" t="e">
        <f t="shared" si="62"/>
        <v>#DIV/0!</v>
      </c>
      <c r="AX28" s="20" t="e">
        <f t="shared" si="62"/>
        <v>#DIV/0!</v>
      </c>
    </row>
  </sheetData>
  <mergeCells count="2">
    <mergeCell ref="V4:V5"/>
    <mergeCell ref="V1:V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R2L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21</xdr:col>
                    <xdr:colOff>0</xdr:colOff>
                    <xdr:row>3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Fill_R2L">
                <anchor moveWithCells="1" sizeWithCells="1">
                  <from>
                    <xdr:col>12</xdr:col>
                    <xdr:colOff>0</xdr:colOff>
                    <xdr:row>3</xdr:row>
                    <xdr:rowOff>12700</xdr:rowOff>
                  </from>
                  <to>
                    <xdr:col>20</xdr:col>
                    <xdr:colOff>203200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BA1650</vt:lpstr>
    </vt:vector>
  </TitlesOfParts>
  <Company>Central Michigan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Libman, Benjamin Michael</dc:creator>
  <cp:lastModifiedBy>Ben Libman</cp:lastModifiedBy>
  <dcterms:created xsi:type="dcterms:W3CDTF">2017-09-26T17:02:33Z</dcterms:created>
  <dcterms:modified xsi:type="dcterms:W3CDTF">2017-10-19T17:24:57Z</dcterms:modified>
</cp:coreProperties>
</file>